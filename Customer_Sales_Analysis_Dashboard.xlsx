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358af3e27de9c928/Documents/"/>
    </mc:Choice>
  </mc:AlternateContent>
  <xr:revisionPtr revIDLastSave="0" documentId="14_{28F82E43-5974-434D-A3E4-07783BEA5BCE}" xr6:coauthVersionLast="47" xr6:coauthVersionMax="47" xr10:uidLastSave="{00000000-0000-0000-0000-000000000000}"/>
  <bookViews>
    <workbookView xWindow="-108" yWindow="-108" windowWidth="23256" windowHeight="12456" tabRatio="595" activeTab="2" xr2:uid="{4ED2B066-E506-449E-9519-45A767557D22}"/>
  </bookViews>
  <sheets>
    <sheet name="Raw data" sheetId="1" r:id="rId1"/>
    <sheet name="Analysis" sheetId="2" r:id="rId2"/>
    <sheet name="Dashboard" sheetId="3" r:id="rId3"/>
  </sheets>
  <definedNames>
    <definedName name="Slicer_Category">#N/A</definedName>
    <definedName name="Slicer_City">#N/A</definedName>
    <definedName name="Slicer_CustomerSegment">#N/A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2" i="1"/>
  <c r="J2" i="2"/>
  <c r="H2" i="2"/>
  <c r="F2" i="2"/>
  <c r="M3" i="1"/>
  <c r="M4" i="1"/>
  <c r="M5" i="1"/>
  <c r="M6" i="1"/>
  <c r="M7" i="1"/>
  <c r="M8" i="1"/>
  <c r="M9" i="1"/>
  <c r="M10" i="1"/>
  <c r="M11" i="1"/>
  <c r="M12" i="1"/>
  <c r="M13" i="1"/>
  <c r="M14" i="1"/>
  <c r="M15" i="1"/>
  <c r="M16" i="1"/>
  <c r="M2" i="1"/>
</calcChain>
</file>

<file path=xl/sharedStrings.xml><?xml version="1.0" encoding="utf-8"?>
<sst xmlns="http://schemas.openxmlformats.org/spreadsheetml/2006/main" count="191" uniqueCount="84">
  <si>
    <t>OrderID</t>
  </si>
  <si>
    <t>CustomerName</t>
  </si>
  <si>
    <t>Gender</t>
  </si>
  <si>
    <t>Age</t>
  </si>
  <si>
    <t>City</t>
  </si>
  <si>
    <t>Product</t>
  </si>
  <si>
    <t>Category</t>
  </si>
  <si>
    <t>Quantity</t>
  </si>
  <si>
    <t>UnitPrice</t>
  </si>
  <si>
    <t>OrderDate</t>
  </si>
  <si>
    <t>PaymentMethod</t>
  </si>
  <si>
    <t>CustomerSegment</t>
  </si>
  <si>
    <t>John Doe</t>
  </si>
  <si>
    <t>Male</t>
  </si>
  <si>
    <t>Lagos</t>
  </si>
  <si>
    <t>Wireless Mouse</t>
  </si>
  <si>
    <t>Electronics</t>
  </si>
  <si>
    <t>Card</t>
  </si>
  <si>
    <t>Regular</t>
  </si>
  <si>
    <t>Jane Smith</t>
  </si>
  <si>
    <t>Female</t>
  </si>
  <si>
    <t>Abuja</t>
  </si>
  <si>
    <t>Laptop Stand</t>
  </si>
  <si>
    <t>Accessories</t>
  </si>
  <si>
    <t>Transfer</t>
  </si>
  <si>
    <t>Premium</t>
  </si>
  <si>
    <t>Michael Johnson</t>
  </si>
  <si>
    <t>Ibadan</t>
  </si>
  <si>
    <t>USB Cable</t>
  </si>
  <si>
    <t>Cash</t>
  </si>
  <si>
    <t>Grace Lee</t>
  </si>
  <si>
    <t>Bluetooth Speaker</t>
  </si>
  <si>
    <t>David Brown</t>
  </si>
  <si>
    <t>Kano</t>
  </si>
  <si>
    <t>Office Chair</t>
  </si>
  <si>
    <t>Furniture</t>
  </si>
  <si>
    <t>Business</t>
  </si>
  <si>
    <t>Sarah Adams</t>
  </si>
  <si>
    <t>Notebook</t>
  </si>
  <si>
    <t>Stationery</t>
  </si>
  <si>
    <t>Peter Obi</t>
  </si>
  <si>
    <t>Enugu</t>
  </si>
  <si>
    <t>Desk Lamp</t>
  </si>
  <si>
    <t>Chioma Okafor</t>
  </si>
  <si>
    <t>Power Bank</t>
  </si>
  <si>
    <t>Emeka Nwosu</t>
  </si>
  <si>
    <t>Kaduna</t>
  </si>
  <si>
    <t>Monitor</t>
  </si>
  <si>
    <t>Aisha Bello</t>
  </si>
  <si>
    <t>Keyboard</t>
  </si>
  <si>
    <t>Tunde Bakare</t>
  </si>
  <si>
    <t>Office Desk</t>
  </si>
  <si>
    <t>Mary James</t>
  </si>
  <si>
    <t>Pen Pack</t>
  </si>
  <si>
    <t>Paul Okoye</t>
  </si>
  <si>
    <t>Headphones</t>
  </si>
  <si>
    <t>Linda White</t>
  </si>
  <si>
    <t>Oweri</t>
  </si>
  <si>
    <t>Total Sales</t>
  </si>
  <si>
    <t>Sum of Total Sales</t>
  </si>
  <si>
    <t>Row Labels</t>
  </si>
  <si>
    <t>Total Customers</t>
  </si>
  <si>
    <t>Average Age</t>
  </si>
  <si>
    <t>Avg order value</t>
  </si>
  <si>
    <t>Apr</t>
  </si>
  <si>
    <t>Jul</t>
  </si>
  <si>
    <t>Aug</t>
  </si>
  <si>
    <t>Age Group</t>
  </si>
  <si>
    <t>18-25</t>
  </si>
  <si>
    <t>26-35</t>
  </si>
  <si>
    <t>36-50</t>
  </si>
  <si>
    <t>Revenue by Age Group</t>
  </si>
  <si>
    <t>Top Cities by Revenue</t>
  </si>
  <si>
    <t>Sales Trend Over Time</t>
  </si>
  <si>
    <t>Revenue by  Gender</t>
  </si>
  <si>
    <t>Revenue by  Customer segment</t>
  </si>
  <si>
    <t>Top Revenue Category</t>
  </si>
  <si>
    <t>Top Customer</t>
  </si>
  <si>
    <t>Revenue by Payment Method</t>
  </si>
  <si>
    <t>Jan</t>
  </si>
  <si>
    <t>Feb</t>
  </si>
  <si>
    <t>Mar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</si>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</sst>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6A]#,##0"/>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14" fontId="0" fillId="0" borderId="0" xfId="0" applyNumberFormat="1"/>
    <xf numFmtId="0" fontId="1" fillId="0" borderId="0" xfId="0" applyFont="1"/>
    <xf numFmtId="0" fontId="1" fillId="0" borderId="0" xfId="0"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1" fillId="0" borderId="0" xfId="0" applyFont="1" applyAlignment="1">
      <alignment horizontal="center"/>
    </xf>
    <xf numFmtId="0" fontId="0" fillId="0" borderId="0" xfId="0" applyAlignment="1">
      <alignment horizontal="center"/>
    </xf>
  </cellXfs>
  <cellStyles count="2">
    <cellStyle name="Normal" xfId="0" builtinId="0"/>
    <cellStyle name="Percent" xfId="1" builtinId="5"/>
  </cellStyles>
  <dxfs count="12">
    <dxf>
      <numFmt numFmtId="164" formatCode="[$₦-46A]#,##0"/>
    </dxf>
    <dxf>
      <numFmt numFmtId="164" formatCode="[$₦-46A]#,##0"/>
    </dxf>
    <dxf>
      <numFmt numFmtId="164" formatCode="[$₦-46A]#,##0"/>
    </dxf>
    <dxf>
      <numFmt numFmtId="166" formatCode="_-[$₦-470]* #,##0_-;\-[$₦-470]* #,##0_-;_-[$₦-470]* &quot;-&quot;_-;_-@_-"/>
    </dxf>
    <dxf>
      <numFmt numFmtId="165" formatCode="_-[$₦-46A]* #,##0_-;\-[$₦-46A]* #,##0_-;_-[$₦-46A]* &quot;-&quot;_-;_-@_-"/>
    </dxf>
    <dxf>
      <numFmt numFmtId="165" formatCode="_-[$₦-46A]* #,##0_-;\-[$₦-46A]* #,##0_-;_-[$₦-46A]* &quot;-&quot;_-;_-@_-"/>
    </dxf>
    <dxf>
      <numFmt numFmtId="164" formatCode="[$₦-46A]#,##0"/>
    </dxf>
    <dxf>
      <numFmt numFmtId="164" formatCode="[$₦-46A]#,##0"/>
    </dxf>
    <dxf>
      <numFmt numFmtId="164" formatCode="[$₦-46A]#,##0"/>
    </dxf>
    <dxf>
      <numFmt numFmtId="164" formatCode="[$₦-46A]#,##0"/>
    </dxf>
    <dxf>
      <numFmt numFmtId="164" formatCode="[$₦-46A]#,##0"/>
    </dxf>
    <dxf>
      <numFmt numFmtId="164" formatCode="[$₦-46A]#,##0"/>
    </dxf>
  </dxfs>
  <tableStyles count="0" defaultTableStyle="TableStyleMedium2" defaultPivotStyle="PivotStyleLight16"/>
  <colors>
    <mruColors>
      <color rgb="FF5FAEA5"/>
      <color rgb="FFD9F1ED"/>
      <color rgb="FF00FFFF"/>
      <color rgb="FF6FBFB5"/>
      <color rgb="FF2E2E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[Customer_Sales_Analysis_Dashboard.xlsx]Analysis!PivotTable3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Revenue</a:t>
            </a:r>
            <a:r>
              <a:rPr lang="en-US" b="1" baseline="0">
                <a:solidFill>
                  <a:schemeClr val="tx1">
                    <a:lumMod val="85000"/>
                    <a:lumOff val="15000"/>
                  </a:schemeClr>
                </a:solidFill>
              </a:rPr>
              <a:t> by Customer Segment</a:t>
            </a:r>
            <a:endParaRPr lang="en-US"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637524116577141E-17"/>
              <c:y val="-0.298742138364779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57232704402515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149371069182389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Analysis!$D$8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B4A4-43EE-89C8-F8CA2D6E02D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B4A4-43EE-89C8-F8CA2D6E02D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B4A4-43EE-89C8-F8CA2D6E02D1}"/>
              </c:ext>
            </c:extLst>
          </c:dPt>
          <c:dLbls>
            <c:dLbl>
              <c:idx val="0"/>
              <c:layout>
                <c:manualLayout>
                  <c:x val="-3.637524116577141E-17"/>
                  <c:y val="-0.298742138364779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A4-43EE-89C8-F8CA2D6E02D1}"/>
                </c:ext>
              </c:extLst>
            </c:dLbl>
            <c:dLbl>
              <c:idx val="1"/>
              <c:layout>
                <c:manualLayout>
                  <c:x val="0"/>
                  <c:y val="-0.157232704402515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A4-43EE-89C8-F8CA2D6E02D1}"/>
                </c:ext>
              </c:extLst>
            </c:dLbl>
            <c:dLbl>
              <c:idx val="2"/>
              <c:layout>
                <c:manualLayout>
                  <c:x val="0"/>
                  <c:y val="-0.149371069182389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A4-43EE-89C8-F8CA2D6E02D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Analysis!$C$9:$C$11</c:f>
              <c:strCache>
                <c:ptCount val="3"/>
                <c:pt idx="0">
                  <c:v>Business</c:v>
                </c:pt>
                <c:pt idx="1">
                  <c:v>Premium</c:v>
                </c:pt>
                <c:pt idx="2">
                  <c:v>Regular</c:v>
                </c:pt>
              </c:strCache>
            </c:strRef>
          </c:cat>
          <c:val>
            <c:numRef>
              <c:f>Analysis!$D$9:$D$11</c:f>
              <c:numCache>
                <c:formatCode>[$₦-46A]#,##0</c:formatCode>
                <c:ptCount val="3"/>
                <c:pt idx="0">
                  <c:v>179000</c:v>
                </c:pt>
                <c:pt idx="1">
                  <c:v>67000</c:v>
                </c:pt>
                <c:pt idx="2">
                  <c:v>50100</c:v>
                </c:pt>
              </c:numCache>
            </c:numRef>
          </c:val>
          <c:extLst>
            <c:ext xmlns:c16="http://schemas.microsoft.com/office/drawing/2014/chart" uri="{C3380CC4-5D6E-409C-BE32-E72D297353CC}">
              <c16:uniqueId val="{00000000-D850-4BCB-AE2D-8C942A66F755}"/>
            </c:ext>
          </c:extLst>
        </c:ser>
        <c:dLbls>
          <c:showLegendKey val="0"/>
          <c:showVal val="1"/>
          <c:showCatName val="0"/>
          <c:showSerName val="0"/>
          <c:showPercent val="0"/>
          <c:showBubbleSize val="0"/>
        </c:dLbls>
        <c:gapWidth val="62"/>
        <c:overlap val="100"/>
        <c:axId val="1483715872"/>
        <c:axId val="1483714912"/>
      </c:barChart>
      <c:catAx>
        <c:axId val="148371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83714912"/>
        <c:crosses val="autoZero"/>
        <c:auto val="1"/>
        <c:lblAlgn val="ctr"/>
        <c:lblOffset val="100"/>
        <c:noMultiLvlLbl val="0"/>
      </c:catAx>
      <c:valAx>
        <c:axId val="1483714912"/>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371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[Customer_Sales_Analysis_Dashboard.xlsx]Analysis!PivotTable4</c:name>
    <c:fmtId val="2"/>
  </c:pivotSource>
  <c:chart>
    <c:title>
      <c:tx>
        <c:rich>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r>
              <a:rPr lang="en-US" sz="1200" b="1" baseline="0">
                <a:solidFill>
                  <a:schemeClr val="tx1">
                    <a:lumMod val="85000"/>
                    <a:lumOff val="15000"/>
                  </a:schemeClr>
                </a:solidFill>
              </a:rPr>
              <a:t>Revenue by Gender</a:t>
            </a:r>
            <a:endParaRPr lang="en-US" sz="1200" b="1">
              <a:solidFill>
                <a:schemeClr val="tx1">
                  <a:lumMod val="85000"/>
                  <a:lumOff val="15000"/>
                </a:schemeClr>
              </a:solidFill>
            </a:endParaRPr>
          </a:p>
        </c:rich>
      </c:tx>
      <c:layout>
        <c:manualLayout>
          <c:xMode val="edge"/>
          <c:yMode val="edge"/>
          <c:x val="0.33554980772752241"/>
          <c:y val="2.304147465437788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85000"/>
                  <a:lumOff val="1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lumMod val="40000"/>
              <a:lumOff val="60000"/>
            </a:schemeClr>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767625170271435"/>
          <c:y val="0.20229991412363776"/>
          <c:w val="0.49243787169008935"/>
          <c:h val="0.7170984675302684"/>
        </c:manualLayout>
      </c:layout>
      <c:pieChart>
        <c:varyColors val="1"/>
        <c:ser>
          <c:idx val="0"/>
          <c:order val="0"/>
          <c:tx>
            <c:strRef>
              <c:f>Analysis!$H$8</c:f>
              <c:strCache>
                <c:ptCount val="1"/>
                <c:pt idx="0">
                  <c:v>Total</c:v>
                </c:pt>
              </c:strCache>
            </c:strRef>
          </c:tx>
          <c:explosion val="3"/>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D58-4583-BFE7-7EA40AFFB179}"/>
              </c:ext>
            </c:extLst>
          </c:dPt>
          <c:dPt>
            <c:idx val="1"/>
            <c:bubble3D val="0"/>
            <c:spPr>
              <a:solidFill>
                <a:schemeClr val="accent1">
                  <a:lumMod val="40000"/>
                  <a:lumOff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D58-4583-BFE7-7EA40AFFB17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Analysis!$G$9:$G$10</c:f>
              <c:strCache>
                <c:ptCount val="2"/>
                <c:pt idx="0">
                  <c:v>Female</c:v>
                </c:pt>
                <c:pt idx="1">
                  <c:v>Male</c:v>
                </c:pt>
              </c:strCache>
            </c:strRef>
          </c:cat>
          <c:val>
            <c:numRef>
              <c:f>Analysis!$H$9:$H$10</c:f>
              <c:numCache>
                <c:formatCode>[$₦-46A]#,##0</c:formatCode>
                <c:ptCount val="2"/>
                <c:pt idx="0">
                  <c:v>70600</c:v>
                </c:pt>
                <c:pt idx="1">
                  <c:v>225500</c:v>
                </c:pt>
              </c:numCache>
            </c:numRef>
          </c:val>
          <c:extLst>
            <c:ext xmlns:c16="http://schemas.microsoft.com/office/drawing/2014/chart" uri="{C3380CC4-5D6E-409C-BE32-E72D297353CC}">
              <c16:uniqueId val="{00000003-0EC4-40F4-9D11-122DC0FED1E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[Customer_Sales_Analysis_Dashboard.xlsx]Analysis!PivotTable7</c:name>
    <c:fmtId val="2"/>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Revenue</a:t>
            </a:r>
            <a:r>
              <a:rPr lang="en-US" b="1" baseline="0">
                <a:solidFill>
                  <a:schemeClr val="tx1">
                    <a:lumMod val="85000"/>
                    <a:lumOff val="15000"/>
                  </a:schemeClr>
                </a:solidFill>
              </a:rPr>
              <a:t> by Age group</a:t>
            </a:r>
            <a:endParaRPr lang="en-US"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Analysis!$O$6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Analysis!$N$7:$N$9</c:f>
              <c:strCache>
                <c:ptCount val="3"/>
                <c:pt idx="0">
                  <c:v>18-25</c:v>
                </c:pt>
                <c:pt idx="1">
                  <c:v>26-35</c:v>
                </c:pt>
                <c:pt idx="2">
                  <c:v>36-50</c:v>
                </c:pt>
              </c:strCache>
            </c:strRef>
          </c:cat>
          <c:val>
            <c:numRef>
              <c:f>Analysis!$O$7:$O$9</c:f>
              <c:numCache>
                <c:formatCode>[$₦-46A]#,##0</c:formatCode>
                <c:ptCount val="3"/>
                <c:pt idx="0">
                  <c:v>22800</c:v>
                </c:pt>
                <c:pt idx="1">
                  <c:v>67800</c:v>
                </c:pt>
                <c:pt idx="2">
                  <c:v>205500</c:v>
                </c:pt>
              </c:numCache>
            </c:numRef>
          </c:val>
          <c:extLst>
            <c:ext xmlns:c16="http://schemas.microsoft.com/office/drawing/2014/chart" uri="{C3380CC4-5D6E-409C-BE32-E72D297353CC}">
              <c16:uniqueId val="{00000000-38F2-4711-90BD-676A39571AAF}"/>
            </c:ext>
          </c:extLst>
        </c:ser>
        <c:dLbls>
          <c:dLblPos val="outEnd"/>
          <c:showLegendKey val="0"/>
          <c:showVal val="1"/>
          <c:showCatName val="0"/>
          <c:showSerName val="0"/>
          <c:showPercent val="0"/>
          <c:showBubbleSize val="0"/>
        </c:dLbls>
        <c:gapWidth val="20"/>
        <c:axId val="1638791728"/>
        <c:axId val="1638789808"/>
      </c:barChart>
      <c:catAx>
        <c:axId val="1638791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638789808"/>
        <c:crosses val="autoZero"/>
        <c:auto val="1"/>
        <c:lblAlgn val="ctr"/>
        <c:lblOffset val="100"/>
        <c:noMultiLvlLbl val="0"/>
      </c:catAx>
      <c:valAx>
        <c:axId val="1638789808"/>
        <c:scaling>
          <c:orientation val="minMax"/>
        </c:scaling>
        <c:delete val="0"/>
        <c:axPos val="b"/>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63879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[Customer_Sales_Analysis_Dashboard.xlsx]Analysis!PivotTable5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Top</a:t>
            </a:r>
            <a:r>
              <a:rPr lang="en-US" b="1" baseline="0">
                <a:solidFill>
                  <a:schemeClr val="tx1">
                    <a:lumMod val="85000"/>
                    <a:lumOff val="15000"/>
                  </a:schemeClr>
                </a:solidFill>
              </a:rPr>
              <a:t> Cities by Revenue</a:t>
            </a:r>
            <a:endParaRPr lang="en-US"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Analysis!$L$8</c:f>
              <c:strCache>
                <c:ptCount val="1"/>
                <c:pt idx="0">
                  <c:v>Total</c:v>
                </c:pt>
              </c:strCache>
            </c:strRef>
          </c:tx>
          <c:spPr>
            <a:solidFill>
              <a:schemeClr val="accent1"/>
            </a:solidFill>
            <a:ln>
              <a:noFill/>
            </a:ln>
            <a:effectLst/>
          </c:spPr>
          <c:invertIfNegative val="0"/>
          <c:cat>
            <c:strRef>
              <c:f>Analysis!$K$9:$K$15</c:f>
              <c:strCache>
                <c:ptCount val="7"/>
                <c:pt idx="0">
                  <c:v>Lagos</c:v>
                </c:pt>
                <c:pt idx="1">
                  <c:v>Kaduna</c:v>
                </c:pt>
                <c:pt idx="2">
                  <c:v>Kano</c:v>
                </c:pt>
                <c:pt idx="3">
                  <c:v>Enugu</c:v>
                </c:pt>
                <c:pt idx="4">
                  <c:v>Abuja</c:v>
                </c:pt>
                <c:pt idx="5">
                  <c:v>Ibadan</c:v>
                </c:pt>
                <c:pt idx="6">
                  <c:v>Oweri</c:v>
                </c:pt>
              </c:strCache>
            </c:strRef>
          </c:cat>
          <c:val>
            <c:numRef>
              <c:f>Analysis!$L$9:$L$15</c:f>
              <c:numCache>
                <c:formatCode>[$₦-46A]#,##0</c:formatCode>
                <c:ptCount val="7"/>
                <c:pt idx="0">
                  <c:v>93000</c:v>
                </c:pt>
                <c:pt idx="1">
                  <c:v>77000</c:v>
                </c:pt>
                <c:pt idx="2">
                  <c:v>45000</c:v>
                </c:pt>
                <c:pt idx="3">
                  <c:v>36000</c:v>
                </c:pt>
                <c:pt idx="4">
                  <c:v>27000</c:v>
                </c:pt>
                <c:pt idx="5">
                  <c:v>13300</c:v>
                </c:pt>
                <c:pt idx="6">
                  <c:v>4800</c:v>
                </c:pt>
              </c:numCache>
            </c:numRef>
          </c:val>
          <c:extLst>
            <c:ext xmlns:c16="http://schemas.microsoft.com/office/drawing/2014/chart" uri="{C3380CC4-5D6E-409C-BE32-E72D297353CC}">
              <c16:uniqueId val="{00000000-95EF-422D-A9F9-E95A1FF1D76B}"/>
            </c:ext>
          </c:extLst>
        </c:ser>
        <c:dLbls>
          <c:showLegendKey val="0"/>
          <c:showVal val="0"/>
          <c:showCatName val="0"/>
          <c:showSerName val="0"/>
          <c:showPercent val="0"/>
          <c:showBubbleSize val="0"/>
        </c:dLbls>
        <c:gapWidth val="20"/>
        <c:overlap val="-27"/>
        <c:axId val="1737215776"/>
        <c:axId val="1737190336"/>
      </c:barChart>
      <c:catAx>
        <c:axId val="173721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737190336"/>
        <c:crosses val="autoZero"/>
        <c:auto val="1"/>
        <c:lblAlgn val="ctr"/>
        <c:lblOffset val="100"/>
        <c:noMultiLvlLbl val="0"/>
      </c:catAx>
      <c:valAx>
        <c:axId val="1737190336"/>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73721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[Customer_Sales_Analysis_Dashboard.xlsx]Analysis!PivotTable6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baseline="0">
                <a:solidFill>
                  <a:schemeClr val="tx1">
                    <a:lumMod val="85000"/>
                    <a:lumOff val="15000"/>
                  </a:schemeClr>
                </a:solidFill>
              </a:rPr>
              <a:t>Revenue Trend Over Time</a:t>
            </a:r>
            <a:endParaRPr lang="en-US" b="1">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Analysis!$H$14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Analysis!$G$15:$G$22</c:f>
              <c:strCache>
                <c:ptCount val="8"/>
                <c:pt idx="0">
                  <c:v>Jan</c:v>
                </c:pt>
                <c:pt idx="1">
                  <c:v>Feb</c:v>
                </c:pt>
                <c:pt idx="2">
                  <c:v>Mar</c:v>
                </c:pt>
                <c:pt idx="3">
                  <c:v>Apr</c:v>
                </c:pt>
                <c:pt idx="4">
                  <c:v>May</c:v>
                </c:pt>
                <c:pt idx="5">
                  <c:v>Jun</c:v>
                </c:pt>
                <c:pt idx="6">
                  <c:v>Jul</c:v>
                </c:pt>
                <c:pt idx="7">
                  <c:v>Aug</c:v>
                </c:pt>
              </c:strCache>
            </c:strRef>
          </c:cat>
          <c:val>
            <c:numRef>
              <c:f>Analysis!$H$15:$H$22</c:f>
              <c:numCache>
                <c:formatCode>[$₦-46A]#,##0</c:formatCode>
                <c:ptCount val="8"/>
                <c:pt idx="0">
                  <c:v>10000</c:v>
                </c:pt>
                <c:pt idx="1">
                  <c:v>16500</c:v>
                </c:pt>
                <c:pt idx="2">
                  <c:v>63000</c:v>
                </c:pt>
                <c:pt idx="3">
                  <c:v>4000</c:v>
                </c:pt>
                <c:pt idx="4">
                  <c:v>29000</c:v>
                </c:pt>
                <c:pt idx="5">
                  <c:v>77000</c:v>
                </c:pt>
                <c:pt idx="6">
                  <c:v>59800</c:v>
                </c:pt>
                <c:pt idx="7">
                  <c:v>36800</c:v>
                </c:pt>
              </c:numCache>
            </c:numRef>
          </c:val>
          <c:smooth val="0"/>
          <c:extLst>
            <c:ext xmlns:c16="http://schemas.microsoft.com/office/drawing/2014/chart" uri="{C3380CC4-5D6E-409C-BE32-E72D297353CC}">
              <c16:uniqueId val="{00000000-08CB-420C-9B9A-0B7E0C3502F2}"/>
            </c:ext>
          </c:extLst>
        </c:ser>
        <c:dLbls>
          <c:dLblPos val="t"/>
          <c:showLegendKey val="0"/>
          <c:showVal val="1"/>
          <c:showCatName val="0"/>
          <c:showSerName val="0"/>
          <c:showPercent val="0"/>
          <c:showBubbleSize val="0"/>
        </c:dLbls>
        <c:marker val="1"/>
        <c:smooth val="0"/>
        <c:axId val="1879754352"/>
        <c:axId val="1879758672"/>
      </c:lineChart>
      <c:catAx>
        <c:axId val="187975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879758672"/>
        <c:crosses val="autoZero"/>
        <c:auto val="1"/>
        <c:lblAlgn val="ctr"/>
        <c:lblOffset val="100"/>
        <c:noMultiLvlLbl val="0"/>
      </c:catAx>
      <c:valAx>
        <c:axId val="1879758672"/>
        <c:scaling>
          <c:orientation val="minMax"/>
        </c:scaling>
        <c:delete val="0"/>
        <c:axPos val="l"/>
        <c:numFmt formatCode="[$₦-46A]#,##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crossAx val="187975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[Customer_Sales_Analysis_Dashboard.xlsx]Analysis!PivotTable2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Revenue</a:t>
            </a:r>
            <a:r>
              <a:rPr lang="en-US" b="1" baseline="0">
                <a:solidFill>
                  <a:schemeClr val="tx1">
                    <a:lumMod val="85000"/>
                    <a:lumOff val="15000"/>
                  </a:schemeClr>
                </a:solidFill>
              </a:rPr>
              <a:t> by Payment Method</a:t>
            </a:r>
            <a:endParaRPr lang="en-US" b="1">
              <a:solidFill>
                <a:schemeClr val="tx1">
                  <a:lumMod val="85000"/>
                  <a:lumOff val="15000"/>
                </a:schemeClr>
              </a:solidFill>
            </a:endParaRPr>
          </a:p>
        </c:rich>
      </c:tx>
      <c:layout>
        <c:manualLayout>
          <c:xMode val="edge"/>
          <c:yMode val="edge"/>
          <c:x val="0.2144154818325434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5FAEA5"/>
          </a:solidFill>
          <a:ln w="19050">
            <a:solidFill>
              <a:schemeClr val="lt1"/>
            </a:solidFill>
          </a:ln>
          <a:effectLst/>
        </c:spPr>
      </c:pivotFmt>
      <c:pivotFmt>
        <c:idx val="8"/>
        <c:spPr>
          <a:solidFill>
            <a:schemeClr val="accent1">
              <a:lumMod val="40000"/>
              <a:lumOff val="60000"/>
            </a:schemeClr>
          </a:solidFill>
          <a:ln w="19050">
            <a:solidFill>
              <a:schemeClr val="lt1"/>
            </a:solidFill>
          </a:ln>
          <a:effectLst/>
        </c:spPr>
      </c:pivotFmt>
    </c:pivotFmts>
    <c:plotArea>
      <c:layout>
        <c:manualLayout>
          <c:layoutTarget val="inner"/>
          <c:xMode val="edge"/>
          <c:yMode val="edge"/>
          <c:x val="0.27645103307584185"/>
          <c:y val="0.16606608384478255"/>
          <c:w val="0.37882785386423856"/>
          <c:h val="0.80133009689578272"/>
        </c:manualLayout>
      </c:layout>
      <c:pieChart>
        <c:varyColors val="1"/>
        <c:ser>
          <c:idx val="0"/>
          <c:order val="0"/>
          <c:tx>
            <c:strRef>
              <c:f>Analysis!$D$2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9B-415D-B649-324A0701A895}"/>
              </c:ext>
            </c:extLst>
          </c:dPt>
          <c:dPt>
            <c:idx val="1"/>
            <c:bubble3D val="0"/>
            <c:spPr>
              <a:solidFill>
                <a:srgbClr val="5FAEA5"/>
              </a:solidFill>
              <a:ln w="19050">
                <a:solidFill>
                  <a:schemeClr val="lt1"/>
                </a:solidFill>
              </a:ln>
              <a:effectLst/>
            </c:spPr>
            <c:extLst>
              <c:ext xmlns:c16="http://schemas.microsoft.com/office/drawing/2014/chart" uri="{C3380CC4-5D6E-409C-BE32-E72D297353CC}">
                <c16:uniqueId val="{00000003-369B-415D-B649-324A0701A895}"/>
              </c:ext>
            </c:extLst>
          </c:dPt>
          <c:dPt>
            <c:idx val="2"/>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5-369B-415D-B649-324A0701A8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Analysis!$C$3:$C$5</c:f>
              <c:strCache>
                <c:ptCount val="3"/>
                <c:pt idx="0">
                  <c:v>Card</c:v>
                </c:pt>
                <c:pt idx="1">
                  <c:v>Cash</c:v>
                </c:pt>
                <c:pt idx="2">
                  <c:v>Transfer</c:v>
                </c:pt>
              </c:strCache>
            </c:strRef>
          </c:cat>
          <c:val>
            <c:numRef>
              <c:f>Analysis!$D$3:$D$5</c:f>
              <c:numCache>
                <c:formatCode>[$₦-46A]#,##0</c:formatCode>
                <c:ptCount val="3"/>
                <c:pt idx="0">
                  <c:v>122800</c:v>
                </c:pt>
                <c:pt idx="1">
                  <c:v>68300</c:v>
                </c:pt>
                <c:pt idx="2">
                  <c:v>105000</c:v>
                </c:pt>
              </c:numCache>
            </c:numRef>
          </c:val>
          <c:extLst>
            <c:ext xmlns:c16="http://schemas.microsoft.com/office/drawing/2014/chart" uri="{C3380CC4-5D6E-409C-BE32-E72D297353CC}">
              <c16:uniqueId val="{00000004-BBBC-41C3-99BF-55C1A145E65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2.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0</xdr:rowOff>
    </xdr:from>
    <xdr:to>
      <xdr:col>18</xdr:col>
      <xdr:colOff>0</xdr:colOff>
      <xdr:row>37</xdr:row>
      <xdr:rowOff>137160</xdr:rowOff>
    </xdr:to>
    <xdr:sp macro="" textlink="">
      <xdr:nvSpPr>
        <xdr:cNvPr id="2" name="Rectangle 1">
          <a:extLst>
            <a:ext uri="{FF2B5EF4-FFF2-40B4-BE49-F238E27FC236}">
              <a16:creationId xmlns:a16="http://schemas.microsoft.com/office/drawing/2014/main" id="{3653A41A-B753-FD03-588D-BB7374A27471}"/>
            </a:ext>
          </a:extLst>
        </xdr:cNvPr>
        <xdr:cNvSpPr/>
      </xdr:nvSpPr>
      <xdr:spPr>
        <a:xfrm>
          <a:off x="22860" y="0"/>
          <a:ext cx="10949940" cy="6903720"/>
        </a:xfrm>
        <a:prstGeom prst="rect">
          <a:avLst/>
        </a:prstGeom>
        <a:solidFill>
          <a:schemeClr val="bg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128942</xdr:colOff>
      <xdr:row>0</xdr:row>
      <xdr:rowOff>43434</xdr:rowOff>
    </xdr:from>
    <xdr:to>
      <xdr:col>17</xdr:col>
      <xdr:colOff>137758</xdr:colOff>
      <xdr:row>2</xdr:row>
      <xdr:rowOff>63246</xdr:rowOff>
    </xdr:to>
    <xdr:sp macro="" textlink="">
      <xdr:nvSpPr>
        <xdr:cNvPr id="4" name="Rectangle: Rounded Corners 3">
          <a:extLst>
            <a:ext uri="{FF2B5EF4-FFF2-40B4-BE49-F238E27FC236}">
              <a16:creationId xmlns:a16="http://schemas.microsoft.com/office/drawing/2014/main" id="{AA98132B-A94F-407F-F099-FEEBEF7CBC23}"/>
            </a:ext>
          </a:extLst>
        </xdr:cNvPr>
        <xdr:cNvSpPr/>
      </xdr:nvSpPr>
      <xdr:spPr>
        <a:xfrm>
          <a:off x="128942" y="43434"/>
          <a:ext cx="10372016" cy="385572"/>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US" sz="1800" b="1"/>
            <a:t>Customer &amp; Sales Analysis Dashboard</a:t>
          </a:r>
          <a:endParaRPr lang="en-US" sz="1100" b="1"/>
        </a:p>
      </xdr:txBody>
    </xdr:sp>
    <xdr:clientData/>
  </xdr:twoCellAnchor>
  <xdr:twoCellAnchor>
    <xdr:from>
      <xdr:col>14</xdr:col>
      <xdr:colOff>312420</xdr:colOff>
      <xdr:row>0</xdr:row>
      <xdr:rowOff>60960</xdr:rowOff>
    </xdr:from>
    <xdr:to>
      <xdr:col>17</xdr:col>
      <xdr:colOff>76200</xdr:colOff>
      <xdr:row>2</xdr:row>
      <xdr:rowOff>60960</xdr:rowOff>
    </xdr:to>
    <xdr:sp macro="" textlink="">
      <xdr:nvSpPr>
        <xdr:cNvPr id="5" name="Rectangle 4">
          <a:extLst>
            <a:ext uri="{FF2B5EF4-FFF2-40B4-BE49-F238E27FC236}">
              <a16:creationId xmlns:a16="http://schemas.microsoft.com/office/drawing/2014/main" id="{62C981C5-9D45-E0AF-29C7-22B64D5879E2}"/>
            </a:ext>
          </a:extLst>
        </xdr:cNvPr>
        <xdr:cNvSpPr/>
      </xdr:nvSpPr>
      <xdr:spPr>
        <a:xfrm>
          <a:off x="8846820" y="60960"/>
          <a:ext cx="159258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320040</xdr:colOff>
      <xdr:row>0</xdr:row>
      <xdr:rowOff>45720</xdr:rowOff>
    </xdr:from>
    <xdr:to>
      <xdr:col>17</xdr:col>
      <xdr:colOff>53340</xdr:colOff>
      <xdr:row>1</xdr:row>
      <xdr:rowOff>30480</xdr:rowOff>
    </xdr:to>
    <xdr:sp macro="" textlink="">
      <xdr:nvSpPr>
        <xdr:cNvPr id="6" name="Rectangle 5">
          <a:extLst>
            <a:ext uri="{FF2B5EF4-FFF2-40B4-BE49-F238E27FC236}">
              <a16:creationId xmlns:a16="http://schemas.microsoft.com/office/drawing/2014/main" id="{40465E63-493E-3236-19F0-C8B9FCC07527}"/>
            </a:ext>
          </a:extLst>
        </xdr:cNvPr>
        <xdr:cNvSpPr/>
      </xdr:nvSpPr>
      <xdr:spPr>
        <a:xfrm>
          <a:off x="9464040" y="45720"/>
          <a:ext cx="952500" cy="1676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Date Period:</a:t>
          </a:r>
        </a:p>
      </xdr:txBody>
    </xdr:sp>
    <xdr:clientData/>
  </xdr:twoCellAnchor>
  <xdr:twoCellAnchor>
    <xdr:from>
      <xdr:col>15</xdr:col>
      <xdr:colOff>312420</xdr:colOff>
      <xdr:row>0</xdr:row>
      <xdr:rowOff>175260</xdr:rowOff>
    </xdr:from>
    <xdr:to>
      <xdr:col>17</xdr:col>
      <xdr:colOff>22860</xdr:colOff>
      <xdr:row>2</xdr:row>
      <xdr:rowOff>22860</xdr:rowOff>
    </xdr:to>
    <xdr:sp macro="" textlink="">
      <xdr:nvSpPr>
        <xdr:cNvPr id="7" name="Rectangle 6">
          <a:extLst>
            <a:ext uri="{FF2B5EF4-FFF2-40B4-BE49-F238E27FC236}">
              <a16:creationId xmlns:a16="http://schemas.microsoft.com/office/drawing/2014/main" id="{DE6F4A95-49DD-B6AD-F323-72F4DB6C1AF5}"/>
            </a:ext>
          </a:extLst>
        </xdr:cNvPr>
        <xdr:cNvSpPr/>
      </xdr:nvSpPr>
      <xdr:spPr>
        <a:xfrm>
          <a:off x="9456420" y="175260"/>
          <a:ext cx="929640" cy="2133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Jan-Aug</a:t>
          </a:r>
          <a:r>
            <a:rPr lang="en-US" sz="1100" baseline="0"/>
            <a:t> 2026</a:t>
          </a:r>
          <a:endParaRPr lang="en-US" sz="1100"/>
        </a:p>
      </xdr:txBody>
    </xdr:sp>
    <xdr:clientData/>
  </xdr:twoCellAnchor>
  <xdr:twoCellAnchor>
    <xdr:from>
      <xdr:col>0</xdr:col>
      <xdr:colOff>149733</xdr:colOff>
      <xdr:row>3</xdr:row>
      <xdr:rowOff>6858</xdr:rowOff>
    </xdr:from>
    <xdr:to>
      <xdr:col>4</xdr:col>
      <xdr:colOff>116967</xdr:colOff>
      <xdr:row>8</xdr:row>
      <xdr:rowOff>31243</xdr:rowOff>
    </xdr:to>
    <xdr:sp macro="" textlink="">
      <xdr:nvSpPr>
        <xdr:cNvPr id="8" name="Rectangle: Rounded Corners 7">
          <a:extLst>
            <a:ext uri="{FF2B5EF4-FFF2-40B4-BE49-F238E27FC236}">
              <a16:creationId xmlns:a16="http://schemas.microsoft.com/office/drawing/2014/main" id="{522A8FE2-6E7E-4A44-92A3-C82C71F1839A}"/>
            </a:ext>
          </a:extLst>
        </xdr:cNvPr>
        <xdr:cNvSpPr/>
      </xdr:nvSpPr>
      <xdr:spPr>
        <a:xfrm>
          <a:off x="149733" y="555498"/>
          <a:ext cx="2405634" cy="93878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393573</xdr:colOff>
      <xdr:row>3</xdr:row>
      <xdr:rowOff>6858</xdr:rowOff>
    </xdr:from>
    <xdr:to>
      <xdr:col>8</xdr:col>
      <xdr:colOff>360807</xdr:colOff>
      <xdr:row>8</xdr:row>
      <xdr:rowOff>31243</xdr:rowOff>
    </xdr:to>
    <xdr:sp macro="" textlink="">
      <xdr:nvSpPr>
        <xdr:cNvPr id="12" name="Rectangle: Rounded Corners 11">
          <a:extLst>
            <a:ext uri="{FF2B5EF4-FFF2-40B4-BE49-F238E27FC236}">
              <a16:creationId xmlns:a16="http://schemas.microsoft.com/office/drawing/2014/main" id="{86957803-6A7C-61E8-9FAF-808EF96E410A}"/>
            </a:ext>
          </a:extLst>
        </xdr:cNvPr>
        <xdr:cNvSpPr/>
      </xdr:nvSpPr>
      <xdr:spPr>
        <a:xfrm>
          <a:off x="2831973" y="555498"/>
          <a:ext cx="2405634" cy="93878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27813</xdr:colOff>
      <xdr:row>3</xdr:row>
      <xdr:rowOff>6858</xdr:rowOff>
    </xdr:from>
    <xdr:to>
      <xdr:col>12</xdr:col>
      <xdr:colOff>604647</xdr:colOff>
      <xdr:row>8</xdr:row>
      <xdr:rowOff>31243</xdr:rowOff>
    </xdr:to>
    <xdr:sp macro="" textlink="">
      <xdr:nvSpPr>
        <xdr:cNvPr id="13" name="Rectangle: Rounded Corners 12">
          <a:extLst>
            <a:ext uri="{FF2B5EF4-FFF2-40B4-BE49-F238E27FC236}">
              <a16:creationId xmlns:a16="http://schemas.microsoft.com/office/drawing/2014/main" id="{ED7C9AF8-8EAB-263E-76B0-23676123C584}"/>
            </a:ext>
          </a:extLst>
        </xdr:cNvPr>
        <xdr:cNvSpPr/>
      </xdr:nvSpPr>
      <xdr:spPr>
        <a:xfrm>
          <a:off x="5514213" y="555498"/>
          <a:ext cx="2405634" cy="93878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271653</xdr:colOff>
      <xdr:row>3</xdr:row>
      <xdr:rowOff>6858</xdr:rowOff>
    </xdr:from>
    <xdr:to>
      <xdr:col>17</xdr:col>
      <xdr:colOff>238887</xdr:colOff>
      <xdr:row>8</xdr:row>
      <xdr:rowOff>31243</xdr:rowOff>
    </xdr:to>
    <xdr:sp macro="" textlink="">
      <xdr:nvSpPr>
        <xdr:cNvPr id="14" name="Rectangle: Rounded Corners 13">
          <a:extLst>
            <a:ext uri="{FF2B5EF4-FFF2-40B4-BE49-F238E27FC236}">
              <a16:creationId xmlns:a16="http://schemas.microsoft.com/office/drawing/2014/main" id="{574FD0EB-972E-CC4A-902C-499636C81547}"/>
            </a:ext>
          </a:extLst>
        </xdr:cNvPr>
        <xdr:cNvSpPr/>
      </xdr:nvSpPr>
      <xdr:spPr>
        <a:xfrm>
          <a:off x="8196453" y="555498"/>
          <a:ext cx="2405634" cy="938785"/>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358140</xdr:colOff>
      <xdr:row>3</xdr:row>
      <xdr:rowOff>106680</xdr:rowOff>
    </xdr:from>
    <xdr:to>
      <xdr:col>3</xdr:col>
      <xdr:colOff>281940</xdr:colOff>
      <xdr:row>5</xdr:row>
      <xdr:rowOff>30480</xdr:rowOff>
    </xdr:to>
    <xdr:sp macro="" textlink="">
      <xdr:nvSpPr>
        <xdr:cNvPr id="16" name="Rectangle 15">
          <a:extLst>
            <a:ext uri="{FF2B5EF4-FFF2-40B4-BE49-F238E27FC236}">
              <a16:creationId xmlns:a16="http://schemas.microsoft.com/office/drawing/2014/main" id="{10140451-D097-6044-1887-50FFF934E6C8}"/>
            </a:ext>
          </a:extLst>
        </xdr:cNvPr>
        <xdr:cNvSpPr/>
      </xdr:nvSpPr>
      <xdr:spPr>
        <a:xfrm>
          <a:off x="967740" y="655320"/>
          <a:ext cx="1143000" cy="2895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lumMod val="75000"/>
                </a:schemeClr>
              </a:solidFill>
            </a:rPr>
            <a:t>Total Revenue</a:t>
          </a:r>
        </a:p>
      </xdr:txBody>
    </xdr:sp>
    <xdr:clientData/>
  </xdr:twoCellAnchor>
  <xdr:twoCellAnchor>
    <xdr:from>
      <xdr:col>5</xdr:col>
      <xdr:colOff>548640</xdr:colOff>
      <xdr:row>3</xdr:row>
      <xdr:rowOff>99060</xdr:rowOff>
    </xdr:from>
    <xdr:to>
      <xdr:col>7</xdr:col>
      <xdr:colOff>594360</xdr:colOff>
      <xdr:row>4</xdr:row>
      <xdr:rowOff>106680</xdr:rowOff>
    </xdr:to>
    <xdr:sp macro="" textlink="">
      <xdr:nvSpPr>
        <xdr:cNvPr id="17" name="Rectangle 16">
          <a:extLst>
            <a:ext uri="{FF2B5EF4-FFF2-40B4-BE49-F238E27FC236}">
              <a16:creationId xmlns:a16="http://schemas.microsoft.com/office/drawing/2014/main" id="{5A1A2D2A-324F-139B-83FC-37F9F35450E7}"/>
            </a:ext>
          </a:extLst>
        </xdr:cNvPr>
        <xdr:cNvSpPr/>
      </xdr:nvSpPr>
      <xdr:spPr>
        <a:xfrm>
          <a:off x="3596640" y="647700"/>
          <a:ext cx="1264920" cy="190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lumMod val="75000"/>
                </a:schemeClr>
              </a:solidFill>
            </a:rPr>
            <a:t>Total Customers</a:t>
          </a:r>
        </a:p>
      </xdr:txBody>
    </xdr:sp>
    <xdr:clientData/>
  </xdr:twoCellAnchor>
  <xdr:twoCellAnchor>
    <xdr:from>
      <xdr:col>10</xdr:col>
      <xdr:colOff>335280</xdr:colOff>
      <xdr:row>3</xdr:row>
      <xdr:rowOff>121920</xdr:rowOff>
    </xdr:from>
    <xdr:to>
      <xdr:col>12</xdr:col>
      <xdr:colOff>259080</xdr:colOff>
      <xdr:row>4</xdr:row>
      <xdr:rowOff>160020</xdr:rowOff>
    </xdr:to>
    <xdr:sp macro="" textlink="">
      <xdr:nvSpPr>
        <xdr:cNvPr id="18" name="Rectangle 17">
          <a:extLst>
            <a:ext uri="{FF2B5EF4-FFF2-40B4-BE49-F238E27FC236}">
              <a16:creationId xmlns:a16="http://schemas.microsoft.com/office/drawing/2014/main" id="{1D38C0ED-2465-B056-4F0F-54025822E69D}"/>
            </a:ext>
          </a:extLst>
        </xdr:cNvPr>
        <xdr:cNvSpPr/>
      </xdr:nvSpPr>
      <xdr:spPr>
        <a:xfrm>
          <a:off x="6431280" y="670560"/>
          <a:ext cx="1143000" cy="2209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lumMod val="75000"/>
                </a:schemeClr>
              </a:solidFill>
            </a:rPr>
            <a:t>Average Age</a:t>
          </a:r>
        </a:p>
      </xdr:txBody>
    </xdr:sp>
    <xdr:clientData/>
  </xdr:twoCellAnchor>
  <xdr:twoCellAnchor>
    <xdr:from>
      <xdr:col>14</xdr:col>
      <xdr:colOff>480060</xdr:colOff>
      <xdr:row>3</xdr:row>
      <xdr:rowOff>53340</xdr:rowOff>
    </xdr:from>
    <xdr:to>
      <xdr:col>16</xdr:col>
      <xdr:colOff>518160</xdr:colOff>
      <xdr:row>4</xdr:row>
      <xdr:rowOff>83820</xdr:rowOff>
    </xdr:to>
    <xdr:sp macro="" textlink="">
      <xdr:nvSpPr>
        <xdr:cNvPr id="19" name="Rectangle 18">
          <a:extLst>
            <a:ext uri="{FF2B5EF4-FFF2-40B4-BE49-F238E27FC236}">
              <a16:creationId xmlns:a16="http://schemas.microsoft.com/office/drawing/2014/main" id="{8D562D41-6FF7-031F-36A0-DF45750AA82C}"/>
            </a:ext>
          </a:extLst>
        </xdr:cNvPr>
        <xdr:cNvSpPr/>
      </xdr:nvSpPr>
      <xdr:spPr>
        <a:xfrm>
          <a:off x="9014460" y="601980"/>
          <a:ext cx="1257300" cy="2133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1">
                  <a:lumMod val="75000"/>
                </a:schemeClr>
              </a:solidFill>
            </a:rPr>
            <a:t>Avg</a:t>
          </a:r>
          <a:r>
            <a:rPr lang="en-US" sz="1200" b="1" baseline="0">
              <a:solidFill>
                <a:schemeClr val="accent1">
                  <a:lumMod val="75000"/>
                </a:schemeClr>
              </a:solidFill>
            </a:rPr>
            <a:t> Order Value</a:t>
          </a:r>
          <a:endParaRPr lang="en-US" sz="1200" b="1">
            <a:solidFill>
              <a:schemeClr val="accent1">
                <a:lumMod val="75000"/>
              </a:schemeClr>
            </a:solidFill>
          </a:endParaRPr>
        </a:p>
      </xdr:txBody>
    </xdr:sp>
    <xdr:clientData/>
  </xdr:twoCellAnchor>
  <xdr:twoCellAnchor>
    <xdr:from>
      <xdr:col>1</xdr:col>
      <xdr:colOff>320040</xdr:colOff>
      <xdr:row>4</xdr:row>
      <xdr:rowOff>121920</xdr:rowOff>
    </xdr:from>
    <xdr:to>
      <xdr:col>3</xdr:col>
      <xdr:colOff>571500</xdr:colOff>
      <xdr:row>6</xdr:row>
      <xdr:rowOff>144780</xdr:rowOff>
    </xdr:to>
    <xdr:sp macro="" textlink="Analysis!A2">
      <xdr:nvSpPr>
        <xdr:cNvPr id="20" name="Rectangle 19">
          <a:extLst>
            <a:ext uri="{FF2B5EF4-FFF2-40B4-BE49-F238E27FC236}">
              <a16:creationId xmlns:a16="http://schemas.microsoft.com/office/drawing/2014/main" id="{940AFBC2-21E7-2E07-AC8D-26C1E7B04B1D}"/>
            </a:ext>
          </a:extLst>
        </xdr:cNvPr>
        <xdr:cNvSpPr/>
      </xdr:nvSpPr>
      <xdr:spPr>
        <a:xfrm>
          <a:off x="929640" y="853440"/>
          <a:ext cx="1470660" cy="3886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264B77D-54C1-420B-BCDC-FD4CEA27BEDD}" type="TxLink">
            <a:rPr lang="en-US" sz="2400" b="1" i="0" u="none" strike="noStrike">
              <a:solidFill>
                <a:schemeClr val="accent1">
                  <a:lumMod val="75000"/>
                </a:schemeClr>
              </a:solidFill>
              <a:latin typeface="Aptos Narrow"/>
            </a:rPr>
            <a:pPr algn="l"/>
            <a:t>₦296,100</a:t>
          </a:fld>
          <a:endParaRPr lang="en-US" sz="2400" b="1">
            <a:solidFill>
              <a:schemeClr val="accent1">
                <a:lumMod val="75000"/>
              </a:schemeClr>
            </a:solidFill>
          </a:endParaRPr>
        </a:p>
      </xdr:txBody>
    </xdr:sp>
    <xdr:clientData/>
  </xdr:twoCellAnchor>
  <xdr:twoCellAnchor>
    <xdr:from>
      <xdr:col>6</xdr:col>
      <xdr:colOff>205740</xdr:colOff>
      <xdr:row>4</xdr:row>
      <xdr:rowOff>114300</xdr:rowOff>
    </xdr:from>
    <xdr:to>
      <xdr:col>7</xdr:col>
      <xdr:colOff>403860</xdr:colOff>
      <xdr:row>6</xdr:row>
      <xdr:rowOff>160020</xdr:rowOff>
    </xdr:to>
    <xdr:sp macro="" textlink="Analysis!F2">
      <xdr:nvSpPr>
        <xdr:cNvPr id="21" name="Rectangle 20">
          <a:extLst>
            <a:ext uri="{FF2B5EF4-FFF2-40B4-BE49-F238E27FC236}">
              <a16:creationId xmlns:a16="http://schemas.microsoft.com/office/drawing/2014/main" id="{F0A0A3B6-6D04-132F-C3A4-001B77277667}"/>
            </a:ext>
          </a:extLst>
        </xdr:cNvPr>
        <xdr:cNvSpPr/>
      </xdr:nvSpPr>
      <xdr:spPr>
        <a:xfrm>
          <a:off x="3863340" y="845820"/>
          <a:ext cx="807720" cy="4114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BCAA68-F73D-48CC-8A91-4D7E777C1206}" type="TxLink">
            <a:rPr lang="en-US" sz="2400" b="1" i="0" u="none" strike="noStrike">
              <a:solidFill>
                <a:schemeClr val="accent1">
                  <a:lumMod val="75000"/>
                </a:schemeClr>
              </a:solidFill>
              <a:latin typeface="Aptos Narrow"/>
            </a:rPr>
            <a:pPr algn="l"/>
            <a:t>15</a:t>
          </a:fld>
          <a:endParaRPr lang="en-US" sz="2400" b="1">
            <a:solidFill>
              <a:schemeClr val="accent1">
                <a:lumMod val="75000"/>
              </a:schemeClr>
            </a:solidFill>
          </a:endParaRPr>
        </a:p>
      </xdr:txBody>
    </xdr:sp>
    <xdr:clientData/>
  </xdr:twoCellAnchor>
  <xdr:twoCellAnchor>
    <xdr:from>
      <xdr:col>10</xdr:col>
      <xdr:colOff>376151</xdr:colOff>
      <xdr:row>4</xdr:row>
      <xdr:rowOff>155518</xdr:rowOff>
    </xdr:from>
    <xdr:to>
      <xdr:col>12</xdr:col>
      <xdr:colOff>126769</xdr:colOff>
      <xdr:row>6</xdr:row>
      <xdr:rowOff>156903</xdr:rowOff>
    </xdr:to>
    <xdr:sp macro="" textlink="Analysis!H2">
      <xdr:nvSpPr>
        <xdr:cNvPr id="22" name="Rectangle 21">
          <a:extLst>
            <a:ext uri="{FF2B5EF4-FFF2-40B4-BE49-F238E27FC236}">
              <a16:creationId xmlns:a16="http://schemas.microsoft.com/office/drawing/2014/main" id="{C0BCCD95-21C9-F02F-669D-C34B58A817F3}"/>
            </a:ext>
          </a:extLst>
        </xdr:cNvPr>
        <xdr:cNvSpPr/>
      </xdr:nvSpPr>
      <xdr:spPr>
        <a:xfrm>
          <a:off x="6472151" y="887038"/>
          <a:ext cx="969818" cy="36714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F4A21D-BB5D-4B75-8ADB-D58DCEE6380C}" type="TxLink">
            <a:rPr lang="en-US" sz="2400" b="1" i="0" u="none" strike="noStrike">
              <a:solidFill>
                <a:schemeClr val="accent1">
                  <a:lumMod val="75000"/>
                </a:schemeClr>
              </a:solidFill>
              <a:latin typeface="Aptos Narrow"/>
            </a:rPr>
            <a:pPr algn="l"/>
            <a:t>33.8</a:t>
          </a:fld>
          <a:endParaRPr lang="en-US" sz="2400" b="1">
            <a:solidFill>
              <a:schemeClr val="accent1">
                <a:lumMod val="75000"/>
              </a:schemeClr>
            </a:solidFill>
          </a:endParaRPr>
        </a:p>
      </xdr:txBody>
    </xdr:sp>
    <xdr:clientData/>
  </xdr:twoCellAnchor>
  <xdr:twoCellAnchor>
    <xdr:from>
      <xdr:col>14</xdr:col>
      <xdr:colOff>419100</xdr:colOff>
      <xdr:row>4</xdr:row>
      <xdr:rowOff>76200</xdr:rowOff>
    </xdr:from>
    <xdr:to>
      <xdr:col>17</xdr:col>
      <xdr:colOff>60960</xdr:colOff>
      <xdr:row>6</xdr:row>
      <xdr:rowOff>106680</xdr:rowOff>
    </xdr:to>
    <xdr:sp macro="" textlink="Analysis!J2">
      <xdr:nvSpPr>
        <xdr:cNvPr id="23" name="Rectangle 22">
          <a:extLst>
            <a:ext uri="{FF2B5EF4-FFF2-40B4-BE49-F238E27FC236}">
              <a16:creationId xmlns:a16="http://schemas.microsoft.com/office/drawing/2014/main" id="{EE91618F-E4BA-4E64-C556-DB4F2BC73376}"/>
            </a:ext>
          </a:extLst>
        </xdr:cNvPr>
        <xdr:cNvSpPr/>
      </xdr:nvSpPr>
      <xdr:spPr>
        <a:xfrm>
          <a:off x="8953500" y="807720"/>
          <a:ext cx="1470660" cy="3962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5120B49-3E3D-4DE7-8EB5-E66FCB2C9DA0}" type="TxLink">
            <a:rPr lang="en-US" sz="2400" b="1" i="0" u="none" strike="noStrike">
              <a:solidFill>
                <a:schemeClr val="accent1">
                  <a:lumMod val="75000"/>
                </a:schemeClr>
              </a:solidFill>
              <a:latin typeface="Aptos Narrow"/>
            </a:rPr>
            <a:pPr algn="l"/>
            <a:t>₦19,740</a:t>
          </a:fld>
          <a:endParaRPr lang="en-US" sz="2400" b="1">
            <a:solidFill>
              <a:schemeClr val="accent1">
                <a:lumMod val="75000"/>
              </a:schemeClr>
            </a:solidFill>
          </a:endParaRPr>
        </a:p>
      </xdr:txBody>
    </xdr:sp>
    <xdr:clientData/>
  </xdr:twoCellAnchor>
  <xdr:twoCellAnchor editAs="oneCell">
    <xdr:from>
      <xdr:col>14</xdr:col>
      <xdr:colOff>502479</xdr:colOff>
      <xdr:row>0</xdr:row>
      <xdr:rowOff>59890</xdr:rowOff>
    </xdr:from>
    <xdr:to>
      <xdr:col>15</xdr:col>
      <xdr:colOff>396681</xdr:colOff>
      <xdr:row>2</xdr:row>
      <xdr:rowOff>46791</xdr:rowOff>
    </xdr:to>
    <xdr:pic>
      <xdr:nvPicPr>
        <xdr:cNvPr id="33" name="Graphic 32" descr="Monthly calendar outline">
          <a:extLst>
            <a:ext uri="{FF2B5EF4-FFF2-40B4-BE49-F238E27FC236}">
              <a16:creationId xmlns:a16="http://schemas.microsoft.com/office/drawing/2014/main" id="{CB93D018-85AF-8A82-B7EB-CAE83425CD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036879" y="59890"/>
          <a:ext cx="503802" cy="352661"/>
        </a:xfrm>
        <a:prstGeom prst="rect">
          <a:avLst/>
        </a:prstGeom>
      </xdr:spPr>
    </xdr:pic>
    <xdr:clientData/>
  </xdr:twoCellAnchor>
  <xdr:twoCellAnchor>
    <xdr:from>
      <xdr:col>1</xdr:col>
      <xdr:colOff>289560</xdr:colOff>
      <xdr:row>6</xdr:row>
      <xdr:rowOff>114300</xdr:rowOff>
    </xdr:from>
    <xdr:to>
      <xdr:col>3</xdr:col>
      <xdr:colOff>365760</xdr:colOff>
      <xdr:row>7</xdr:row>
      <xdr:rowOff>152400</xdr:rowOff>
    </xdr:to>
    <xdr:sp macro="" textlink="">
      <xdr:nvSpPr>
        <xdr:cNvPr id="3" name="Rectangle 2">
          <a:extLst>
            <a:ext uri="{FF2B5EF4-FFF2-40B4-BE49-F238E27FC236}">
              <a16:creationId xmlns:a16="http://schemas.microsoft.com/office/drawing/2014/main" id="{5B198FDE-23D1-3976-92B9-DAFDAABEBB9B}"/>
            </a:ext>
          </a:extLst>
        </xdr:cNvPr>
        <xdr:cNvSpPr/>
      </xdr:nvSpPr>
      <xdr:spPr>
        <a:xfrm>
          <a:off x="899160" y="1211580"/>
          <a:ext cx="1295400" cy="220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85000"/>
                  <a:lumOff val="15000"/>
                </a:schemeClr>
              </a:solidFill>
            </a:rPr>
            <a:t>Total</a:t>
          </a:r>
          <a:r>
            <a:rPr lang="en-US" sz="1100" b="1" baseline="0">
              <a:solidFill>
                <a:schemeClr val="tx1">
                  <a:lumMod val="85000"/>
                  <a:lumOff val="15000"/>
                </a:schemeClr>
              </a:solidFill>
            </a:rPr>
            <a:t> sales revenue</a:t>
          </a:r>
          <a:endParaRPr lang="en-US" sz="1100" b="1">
            <a:solidFill>
              <a:schemeClr val="tx1">
                <a:lumMod val="85000"/>
                <a:lumOff val="15000"/>
              </a:schemeClr>
            </a:solidFill>
          </a:endParaRPr>
        </a:p>
      </xdr:txBody>
    </xdr:sp>
    <xdr:clientData/>
  </xdr:twoCellAnchor>
  <xdr:twoCellAnchor>
    <xdr:from>
      <xdr:col>6</xdr:col>
      <xdr:colOff>91440</xdr:colOff>
      <xdr:row>6</xdr:row>
      <xdr:rowOff>91440</xdr:rowOff>
    </xdr:from>
    <xdr:to>
      <xdr:col>8</xdr:col>
      <xdr:colOff>167640</xdr:colOff>
      <xdr:row>7</xdr:row>
      <xdr:rowOff>160020</xdr:rowOff>
    </xdr:to>
    <xdr:sp macro="" textlink="">
      <xdr:nvSpPr>
        <xdr:cNvPr id="9" name="Rectangle 8">
          <a:extLst>
            <a:ext uri="{FF2B5EF4-FFF2-40B4-BE49-F238E27FC236}">
              <a16:creationId xmlns:a16="http://schemas.microsoft.com/office/drawing/2014/main" id="{0ECE3E4E-0FA7-E58E-A18E-ED0EC252C8C3}"/>
            </a:ext>
          </a:extLst>
        </xdr:cNvPr>
        <xdr:cNvSpPr/>
      </xdr:nvSpPr>
      <xdr:spPr>
        <a:xfrm>
          <a:off x="3749040" y="1188720"/>
          <a:ext cx="1295400" cy="2514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85000"/>
                  <a:lumOff val="15000"/>
                </a:schemeClr>
              </a:solidFill>
            </a:rPr>
            <a:t>Unique</a:t>
          </a:r>
          <a:r>
            <a:rPr lang="en-US" sz="1100" b="1" baseline="0">
              <a:solidFill>
                <a:schemeClr val="tx1">
                  <a:lumMod val="85000"/>
                  <a:lumOff val="15000"/>
                </a:schemeClr>
              </a:solidFill>
            </a:rPr>
            <a:t> </a:t>
          </a:r>
          <a:r>
            <a:rPr lang="en-US" sz="1100" b="1" baseline="0">
              <a:solidFill>
                <a:sysClr val="windowText" lastClr="000000"/>
              </a:solidFill>
            </a:rPr>
            <a:t>customers</a:t>
          </a:r>
          <a:endParaRPr lang="en-US" sz="1100" b="1">
            <a:solidFill>
              <a:sysClr val="windowText" lastClr="000000"/>
            </a:solidFill>
          </a:endParaRPr>
        </a:p>
      </xdr:txBody>
    </xdr:sp>
    <xdr:clientData/>
  </xdr:twoCellAnchor>
  <xdr:twoCellAnchor>
    <xdr:from>
      <xdr:col>10</xdr:col>
      <xdr:colOff>213360</xdr:colOff>
      <xdr:row>6</xdr:row>
      <xdr:rowOff>106680</xdr:rowOff>
    </xdr:from>
    <xdr:to>
      <xdr:col>12</xdr:col>
      <xdr:colOff>556260</xdr:colOff>
      <xdr:row>7</xdr:row>
      <xdr:rowOff>152400</xdr:rowOff>
    </xdr:to>
    <xdr:sp macro="" textlink="">
      <xdr:nvSpPr>
        <xdr:cNvPr id="10" name="Rectangle 9">
          <a:extLst>
            <a:ext uri="{FF2B5EF4-FFF2-40B4-BE49-F238E27FC236}">
              <a16:creationId xmlns:a16="http://schemas.microsoft.com/office/drawing/2014/main" id="{13399981-72DD-C343-53F6-325EA00DD089}"/>
            </a:ext>
          </a:extLst>
        </xdr:cNvPr>
        <xdr:cNvSpPr/>
      </xdr:nvSpPr>
      <xdr:spPr>
        <a:xfrm>
          <a:off x="6309360" y="1203960"/>
          <a:ext cx="156210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Average of customer</a:t>
          </a:r>
          <a:r>
            <a:rPr lang="en-US" sz="1100" b="1" baseline="0">
              <a:solidFill>
                <a:schemeClr val="accent1">
                  <a:lumMod val="75000"/>
                </a:schemeClr>
              </a:solidFill>
            </a:rPr>
            <a:t> age</a:t>
          </a:r>
          <a:endParaRPr lang="en-US" sz="1100" b="1">
            <a:solidFill>
              <a:schemeClr val="accent1">
                <a:lumMod val="75000"/>
              </a:schemeClr>
            </a:solidFill>
          </a:endParaRPr>
        </a:p>
      </xdr:txBody>
    </xdr:sp>
    <xdr:clientData/>
  </xdr:twoCellAnchor>
  <xdr:twoCellAnchor>
    <xdr:from>
      <xdr:col>14</xdr:col>
      <xdr:colOff>495300</xdr:colOff>
      <xdr:row>6</xdr:row>
      <xdr:rowOff>68580</xdr:rowOff>
    </xdr:from>
    <xdr:to>
      <xdr:col>16</xdr:col>
      <xdr:colOff>487680</xdr:colOff>
      <xdr:row>7</xdr:row>
      <xdr:rowOff>114300</xdr:rowOff>
    </xdr:to>
    <xdr:sp macro="" textlink="">
      <xdr:nvSpPr>
        <xdr:cNvPr id="11" name="Rectangle 10">
          <a:extLst>
            <a:ext uri="{FF2B5EF4-FFF2-40B4-BE49-F238E27FC236}">
              <a16:creationId xmlns:a16="http://schemas.microsoft.com/office/drawing/2014/main" id="{5F553FE6-0A52-AC41-914B-8E639DE06163}"/>
            </a:ext>
          </a:extLst>
        </xdr:cNvPr>
        <xdr:cNvSpPr/>
      </xdr:nvSpPr>
      <xdr:spPr>
        <a:xfrm>
          <a:off x="9029700" y="1165860"/>
          <a:ext cx="1211580" cy="228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Average per order</a:t>
          </a:r>
        </a:p>
      </xdr:txBody>
    </xdr:sp>
    <xdr:clientData/>
  </xdr:twoCellAnchor>
  <xdr:twoCellAnchor editAs="absolute">
    <xdr:from>
      <xdr:col>0</xdr:col>
      <xdr:colOff>68580</xdr:colOff>
      <xdr:row>8</xdr:row>
      <xdr:rowOff>152401</xdr:rowOff>
    </xdr:from>
    <xdr:to>
      <xdr:col>2</xdr:col>
      <xdr:colOff>556260</xdr:colOff>
      <xdr:row>21</xdr:row>
      <xdr:rowOff>129540</xdr:rowOff>
    </xdr:to>
    <mc:AlternateContent xmlns:mc="http://schemas.openxmlformats.org/markup-compatibility/2006">
      <mc:Choice xmlns:a14="http://schemas.microsoft.com/office/drawing/2010/main" Requires="a14">
        <xdr:graphicFrame macro="">
          <xdr:nvGraphicFramePr>
            <xdr:cNvPr id="15" name="City">
              <a:extLst>
                <a:ext uri="{FF2B5EF4-FFF2-40B4-BE49-F238E27FC236}">
                  <a16:creationId xmlns:a16="http://schemas.microsoft.com/office/drawing/2014/main" id="{FB998749-B6D2-44B0-8687-A5F7D3423C8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8580" y="1615441"/>
              <a:ext cx="1706880" cy="2354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68580</xdr:colOff>
      <xdr:row>22</xdr:row>
      <xdr:rowOff>7621</xdr:rowOff>
    </xdr:from>
    <xdr:to>
      <xdr:col>2</xdr:col>
      <xdr:colOff>579120</xdr:colOff>
      <xdr:row>30</xdr:row>
      <xdr:rowOff>45720</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B341C634-EF90-4CD2-AF3C-915D6A8446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8580" y="4030981"/>
              <a:ext cx="1729740" cy="1501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68580</xdr:colOff>
      <xdr:row>30</xdr:row>
      <xdr:rowOff>114301</xdr:rowOff>
    </xdr:from>
    <xdr:to>
      <xdr:col>2</xdr:col>
      <xdr:colOff>594360</xdr:colOff>
      <xdr:row>37</xdr:row>
      <xdr:rowOff>60960</xdr:rowOff>
    </xdr:to>
    <mc:AlternateContent xmlns:mc="http://schemas.openxmlformats.org/markup-compatibility/2006">
      <mc:Choice xmlns:a14="http://schemas.microsoft.com/office/drawing/2010/main" Requires="a14">
        <xdr:graphicFrame macro="">
          <xdr:nvGraphicFramePr>
            <xdr:cNvPr id="26" name="CustomerSegment">
              <a:extLst>
                <a:ext uri="{FF2B5EF4-FFF2-40B4-BE49-F238E27FC236}">
                  <a16:creationId xmlns:a16="http://schemas.microsoft.com/office/drawing/2014/main" id="{3EDF283D-AD4C-4FED-9362-C6AA2A8C20F6}"/>
                </a:ext>
              </a:extLst>
            </xdr:cNvPr>
            <xdr:cNvGraphicFramePr/>
          </xdr:nvGraphicFramePr>
          <xdr:xfrm>
            <a:off x="0" y="0"/>
            <a:ext cx="0" cy="0"/>
          </xdr:xfrm>
          <a:graphic>
            <a:graphicData uri="http://schemas.microsoft.com/office/drawing/2010/slicer">
              <sle:slicer xmlns:sle="http://schemas.microsoft.com/office/drawing/2010/slicer" name="CustomerSegment"/>
            </a:graphicData>
          </a:graphic>
        </xdr:graphicFrame>
      </mc:Choice>
      <mc:Fallback>
        <xdr:sp macro="" textlink="">
          <xdr:nvSpPr>
            <xdr:cNvPr id="0" name=""/>
            <xdr:cNvSpPr>
              <a:spLocks noTextEdit="1"/>
            </xdr:cNvSpPr>
          </xdr:nvSpPr>
          <xdr:spPr>
            <a:xfrm>
              <a:off x="68580" y="5600701"/>
              <a:ext cx="1744980" cy="1226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60960</xdr:colOff>
      <xdr:row>8</xdr:row>
      <xdr:rowOff>179070</xdr:rowOff>
    </xdr:from>
    <xdr:to>
      <xdr:col>8</xdr:col>
      <xdr:colOff>213360</xdr:colOff>
      <xdr:row>17</xdr:row>
      <xdr:rowOff>148590</xdr:rowOff>
    </xdr:to>
    <xdr:graphicFrame macro="">
      <xdr:nvGraphicFramePr>
        <xdr:cNvPr id="28" name="Chart 27">
          <a:extLst>
            <a:ext uri="{FF2B5EF4-FFF2-40B4-BE49-F238E27FC236}">
              <a16:creationId xmlns:a16="http://schemas.microsoft.com/office/drawing/2014/main" id="{B88A710C-91B7-48CC-9C68-E75B2CC0C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316230</xdr:colOff>
      <xdr:row>8</xdr:row>
      <xdr:rowOff>160020</xdr:rowOff>
    </xdr:from>
    <xdr:to>
      <xdr:col>12</xdr:col>
      <xdr:colOff>285750</xdr:colOff>
      <xdr:row>17</xdr:row>
      <xdr:rowOff>167640</xdr:rowOff>
    </xdr:to>
    <xdr:graphicFrame macro="">
      <xdr:nvGraphicFramePr>
        <xdr:cNvPr id="30" name="Chart 29">
          <a:extLst>
            <a:ext uri="{FF2B5EF4-FFF2-40B4-BE49-F238E27FC236}">
              <a16:creationId xmlns:a16="http://schemas.microsoft.com/office/drawing/2014/main" id="{950EC5E4-34B0-4052-9455-B4821F001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388620</xdr:colOff>
      <xdr:row>8</xdr:row>
      <xdr:rowOff>160020</xdr:rowOff>
    </xdr:from>
    <xdr:to>
      <xdr:col>17</xdr:col>
      <xdr:colOff>533400</xdr:colOff>
      <xdr:row>17</xdr:row>
      <xdr:rowOff>167640</xdr:rowOff>
    </xdr:to>
    <xdr:graphicFrame macro="">
      <xdr:nvGraphicFramePr>
        <xdr:cNvPr id="32" name="Chart 31">
          <a:extLst>
            <a:ext uri="{FF2B5EF4-FFF2-40B4-BE49-F238E27FC236}">
              <a16:creationId xmlns:a16="http://schemas.microsoft.com/office/drawing/2014/main" id="{ECE65987-2E23-4D1C-9F19-12E3A17CF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68580</xdr:colOff>
      <xdr:row>18</xdr:row>
      <xdr:rowOff>45720</xdr:rowOff>
    </xdr:from>
    <xdr:to>
      <xdr:col>9</xdr:col>
      <xdr:colOff>396240</xdr:colOff>
      <xdr:row>28</xdr:row>
      <xdr:rowOff>179070</xdr:rowOff>
    </xdr:to>
    <xdr:graphicFrame macro="">
      <xdr:nvGraphicFramePr>
        <xdr:cNvPr id="34" name="Chart 33">
          <a:extLst>
            <a:ext uri="{FF2B5EF4-FFF2-40B4-BE49-F238E27FC236}">
              <a16:creationId xmlns:a16="http://schemas.microsoft.com/office/drawing/2014/main" id="{310F300E-2564-4EA6-B7E5-3577AD187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472440</xdr:colOff>
      <xdr:row>18</xdr:row>
      <xdr:rowOff>60960</xdr:rowOff>
    </xdr:from>
    <xdr:to>
      <xdr:col>17</xdr:col>
      <xdr:colOff>548640</xdr:colOff>
      <xdr:row>29</xdr:row>
      <xdr:rowOff>7620</xdr:rowOff>
    </xdr:to>
    <xdr:graphicFrame macro="">
      <xdr:nvGraphicFramePr>
        <xdr:cNvPr id="35" name="Chart 34">
          <a:extLst>
            <a:ext uri="{FF2B5EF4-FFF2-40B4-BE49-F238E27FC236}">
              <a16:creationId xmlns:a16="http://schemas.microsoft.com/office/drawing/2014/main" id="{57C1B980-C238-4C9D-A206-6FB0AFBD6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76200</xdr:colOff>
      <xdr:row>29</xdr:row>
      <xdr:rowOff>30480</xdr:rowOff>
    </xdr:from>
    <xdr:to>
      <xdr:col>8</xdr:col>
      <xdr:colOff>243840</xdr:colOff>
      <xdr:row>37</xdr:row>
      <xdr:rowOff>87630</xdr:rowOff>
    </xdr:to>
    <xdr:graphicFrame macro="">
      <xdr:nvGraphicFramePr>
        <xdr:cNvPr id="36" name="Chart 35">
          <a:extLst>
            <a:ext uri="{FF2B5EF4-FFF2-40B4-BE49-F238E27FC236}">
              <a16:creationId xmlns:a16="http://schemas.microsoft.com/office/drawing/2014/main" id="{85A167B7-5734-4DB4-8296-8D2ACFAC4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358140</xdr:colOff>
      <xdr:row>29</xdr:row>
      <xdr:rowOff>72390</xdr:rowOff>
    </xdr:from>
    <xdr:to>
      <xdr:col>12</xdr:col>
      <xdr:colOff>198120</xdr:colOff>
      <xdr:row>37</xdr:row>
      <xdr:rowOff>87630</xdr:rowOff>
    </xdr:to>
    <xdr:sp macro="" textlink="">
      <xdr:nvSpPr>
        <xdr:cNvPr id="37" name="Rectangle 36">
          <a:extLst>
            <a:ext uri="{FF2B5EF4-FFF2-40B4-BE49-F238E27FC236}">
              <a16:creationId xmlns:a16="http://schemas.microsoft.com/office/drawing/2014/main" id="{5CAC9DCD-0DD3-FF55-7EA2-1B7FD784D09D}"/>
            </a:ext>
          </a:extLst>
        </xdr:cNvPr>
        <xdr:cNvSpPr/>
      </xdr:nvSpPr>
      <xdr:spPr>
        <a:xfrm>
          <a:off x="5234940" y="5375910"/>
          <a:ext cx="2278380" cy="14782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259080</xdr:colOff>
      <xdr:row>29</xdr:row>
      <xdr:rowOff>80010</xdr:rowOff>
    </xdr:from>
    <xdr:to>
      <xdr:col>17</xdr:col>
      <xdr:colOff>525780</xdr:colOff>
      <xdr:row>37</xdr:row>
      <xdr:rowOff>87630</xdr:rowOff>
    </xdr:to>
    <xdr:sp macro="" textlink="">
      <xdr:nvSpPr>
        <xdr:cNvPr id="38" name="Rectangle 37">
          <a:extLst>
            <a:ext uri="{FF2B5EF4-FFF2-40B4-BE49-F238E27FC236}">
              <a16:creationId xmlns:a16="http://schemas.microsoft.com/office/drawing/2014/main" id="{30B117C6-B342-6812-00D1-EADC85D6EFF3}"/>
            </a:ext>
          </a:extLst>
        </xdr:cNvPr>
        <xdr:cNvSpPr/>
      </xdr:nvSpPr>
      <xdr:spPr>
        <a:xfrm>
          <a:off x="7574280" y="5383530"/>
          <a:ext cx="3314700" cy="14706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0</xdr:colOff>
      <xdr:row>30</xdr:row>
      <xdr:rowOff>45720</xdr:rowOff>
    </xdr:from>
    <xdr:to>
      <xdr:col>11</xdr:col>
      <xdr:colOff>441960</xdr:colOff>
      <xdr:row>31</xdr:row>
      <xdr:rowOff>45720</xdr:rowOff>
    </xdr:to>
    <xdr:sp macro="" textlink="">
      <xdr:nvSpPr>
        <xdr:cNvPr id="39" name="Rectangle 38">
          <a:extLst>
            <a:ext uri="{FF2B5EF4-FFF2-40B4-BE49-F238E27FC236}">
              <a16:creationId xmlns:a16="http://schemas.microsoft.com/office/drawing/2014/main" id="{CD60335D-76BC-018A-AEEF-913E0D682FB6}"/>
            </a:ext>
          </a:extLst>
        </xdr:cNvPr>
        <xdr:cNvSpPr/>
      </xdr:nvSpPr>
      <xdr:spPr>
        <a:xfrm>
          <a:off x="6096000" y="5532120"/>
          <a:ext cx="1051560" cy="1828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Top Customer</a:t>
          </a:r>
        </a:p>
      </xdr:txBody>
    </xdr:sp>
    <xdr:clientData/>
  </xdr:twoCellAnchor>
  <xdr:twoCellAnchor>
    <xdr:from>
      <xdr:col>9</xdr:col>
      <xdr:colOff>502920</xdr:colOff>
      <xdr:row>31</xdr:row>
      <xdr:rowOff>53340</xdr:rowOff>
    </xdr:from>
    <xdr:to>
      <xdr:col>11</xdr:col>
      <xdr:colOff>533400</xdr:colOff>
      <xdr:row>32</xdr:row>
      <xdr:rowOff>175260</xdr:rowOff>
    </xdr:to>
    <xdr:sp macro="" textlink="Analysis!C20">
      <xdr:nvSpPr>
        <xdr:cNvPr id="40" name="Rectangle 39">
          <a:extLst>
            <a:ext uri="{FF2B5EF4-FFF2-40B4-BE49-F238E27FC236}">
              <a16:creationId xmlns:a16="http://schemas.microsoft.com/office/drawing/2014/main" id="{A5A8FBDA-B10A-54F5-F153-11A94A55AA3F}"/>
            </a:ext>
          </a:extLst>
        </xdr:cNvPr>
        <xdr:cNvSpPr/>
      </xdr:nvSpPr>
      <xdr:spPr>
        <a:xfrm>
          <a:off x="5989320" y="5722620"/>
          <a:ext cx="1249680" cy="304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00CDCFD-9C8A-40FD-B97C-0FE290C757CA}" type="TxLink">
            <a:rPr lang="en-US" sz="1400" b="1" i="0" u="none" strike="noStrike">
              <a:solidFill>
                <a:srgbClr val="000000"/>
              </a:solidFill>
              <a:latin typeface="Aptos Narrow"/>
            </a:rPr>
            <a:pPr algn="l"/>
            <a:t>Emeka Nwosu</a:t>
          </a:fld>
          <a:endParaRPr lang="en-US" sz="1400" b="1"/>
        </a:p>
      </xdr:txBody>
    </xdr:sp>
    <xdr:clientData/>
  </xdr:twoCellAnchor>
  <xdr:twoCellAnchor>
    <xdr:from>
      <xdr:col>14</xdr:col>
      <xdr:colOff>381000</xdr:colOff>
      <xdr:row>30</xdr:row>
      <xdr:rowOff>30480</xdr:rowOff>
    </xdr:from>
    <xdr:to>
      <xdr:col>17</xdr:col>
      <xdr:colOff>15240</xdr:colOff>
      <xdr:row>31</xdr:row>
      <xdr:rowOff>106680</xdr:rowOff>
    </xdr:to>
    <xdr:sp macro="" textlink="">
      <xdr:nvSpPr>
        <xdr:cNvPr id="42" name="Rectangle 41">
          <a:extLst>
            <a:ext uri="{FF2B5EF4-FFF2-40B4-BE49-F238E27FC236}">
              <a16:creationId xmlns:a16="http://schemas.microsoft.com/office/drawing/2014/main" id="{8B117BA4-C17F-26FF-0962-9AEF30ECEBC6}"/>
            </a:ext>
          </a:extLst>
        </xdr:cNvPr>
        <xdr:cNvSpPr/>
      </xdr:nvSpPr>
      <xdr:spPr>
        <a:xfrm>
          <a:off x="8915400" y="5516880"/>
          <a:ext cx="1463040" cy="2590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85000"/>
                  <a:lumOff val="15000"/>
                </a:schemeClr>
              </a:solidFill>
            </a:rPr>
            <a:t>Top Revenue Category</a:t>
          </a:r>
        </a:p>
      </xdr:txBody>
    </xdr:sp>
    <xdr:clientData/>
  </xdr:twoCellAnchor>
  <xdr:twoCellAnchor>
    <xdr:from>
      <xdr:col>14</xdr:col>
      <xdr:colOff>472440</xdr:colOff>
      <xdr:row>31</xdr:row>
      <xdr:rowOff>45720</xdr:rowOff>
    </xdr:from>
    <xdr:to>
      <xdr:col>16</xdr:col>
      <xdr:colOff>419100</xdr:colOff>
      <xdr:row>32</xdr:row>
      <xdr:rowOff>121920</xdr:rowOff>
    </xdr:to>
    <xdr:sp macro="" textlink="Analysis!J21">
      <xdr:nvSpPr>
        <xdr:cNvPr id="43" name="Rectangle 42">
          <a:extLst>
            <a:ext uri="{FF2B5EF4-FFF2-40B4-BE49-F238E27FC236}">
              <a16:creationId xmlns:a16="http://schemas.microsoft.com/office/drawing/2014/main" id="{BCBD8CD5-E0BD-D5C7-B297-7D42AFC1C5A9}"/>
            </a:ext>
          </a:extLst>
        </xdr:cNvPr>
        <xdr:cNvSpPr/>
      </xdr:nvSpPr>
      <xdr:spPr>
        <a:xfrm>
          <a:off x="9006840" y="5715000"/>
          <a:ext cx="1165860" cy="2590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B51A09-D4B8-4BF2-93EA-78BDCBFFDD2A}" type="TxLink">
            <a:rPr lang="en-US" sz="1400" b="1" i="0" u="none" strike="noStrike">
              <a:solidFill>
                <a:srgbClr val="000000"/>
              </a:solidFill>
              <a:latin typeface="Aptos Narrow"/>
            </a:rPr>
            <a:pPr algn="l"/>
            <a:t>Electronics</a:t>
          </a:fld>
          <a:endParaRPr lang="en-US" sz="1400" b="1">
            <a:solidFill>
              <a:schemeClr val="tx1">
                <a:lumMod val="85000"/>
                <a:lumOff val="15000"/>
              </a:schemeClr>
            </a:solidFill>
          </a:endParaRPr>
        </a:p>
      </xdr:txBody>
    </xdr:sp>
    <xdr:clientData/>
  </xdr:twoCellAnchor>
  <xdr:twoCellAnchor>
    <xdr:from>
      <xdr:col>10</xdr:col>
      <xdr:colOff>571500</xdr:colOff>
      <xdr:row>33</xdr:row>
      <xdr:rowOff>38100</xdr:rowOff>
    </xdr:from>
    <xdr:to>
      <xdr:col>12</xdr:col>
      <xdr:colOff>0</xdr:colOff>
      <xdr:row>34</xdr:row>
      <xdr:rowOff>114300</xdr:rowOff>
    </xdr:to>
    <xdr:sp macro="" textlink="Analysis!D20">
      <xdr:nvSpPr>
        <xdr:cNvPr id="44" name="Rectangle 43">
          <a:extLst>
            <a:ext uri="{FF2B5EF4-FFF2-40B4-BE49-F238E27FC236}">
              <a16:creationId xmlns:a16="http://schemas.microsoft.com/office/drawing/2014/main" id="{FAB47F1A-7196-9FB4-D348-61D19D5A001D}"/>
            </a:ext>
          </a:extLst>
        </xdr:cNvPr>
        <xdr:cNvSpPr/>
      </xdr:nvSpPr>
      <xdr:spPr>
        <a:xfrm>
          <a:off x="6667500" y="6073140"/>
          <a:ext cx="647700" cy="2590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622615A-2616-4926-958F-AE65EED4C751}" type="TxLink">
            <a:rPr lang="en-US" sz="1100" b="0" i="0" u="none" strike="noStrike">
              <a:solidFill>
                <a:srgbClr val="000000"/>
              </a:solidFill>
              <a:latin typeface="Aptos Narrow"/>
            </a:rPr>
            <a:pPr algn="l"/>
            <a:t>₦65,000</a:t>
          </a:fld>
          <a:endParaRPr lang="en-US" sz="1100">
            <a:solidFill>
              <a:schemeClr val="accent1">
                <a:lumMod val="75000"/>
              </a:schemeClr>
            </a:solidFill>
          </a:endParaRPr>
        </a:p>
      </xdr:txBody>
    </xdr:sp>
    <xdr:clientData/>
  </xdr:twoCellAnchor>
  <xdr:twoCellAnchor>
    <xdr:from>
      <xdr:col>9</xdr:col>
      <xdr:colOff>381000</xdr:colOff>
      <xdr:row>33</xdr:row>
      <xdr:rowOff>38100</xdr:rowOff>
    </xdr:from>
    <xdr:to>
      <xdr:col>11</xdr:col>
      <xdr:colOff>45720</xdr:colOff>
      <xdr:row>34</xdr:row>
      <xdr:rowOff>114300</xdr:rowOff>
    </xdr:to>
    <xdr:sp macro="" textlink="">
      <xdr:nvSpPr>
        <xdr:cNvPr id="45" name="Rectangle 44">
          <a:extLst>
            <a:ext uri="{FF2B5EF4-FFF2-40B4-BE49-F238E27FC236}">
              <a16:creationId xmlns:a16="http://schemas.microsoft.com/office/drawing/2014/main" id="{4111ADCB-2D57-3684-1E20-AC22F870A84E}"/>
            </a:ext>
          </a:extLst>
        </xdr:cNvPr>
        <xdr:cNvSpPr/>
      </xdr:nvSpPr>
      <xdr:spPr>
        <a:xfrm>
          <a:off x="5867400" y="6073140"/>
          <a:ext cx="883920" cy="2590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85000"/>
                  <a:lumOff val="15000"/>
                </a:schemeClr>
              </a:solidFill>
            </a:rPr>
            <a:t>Total</a:t>
          </a:r>
          <a:r>
            <a:rPr lang="en-US" sz="1100" b="1" baseline="0">
              <a:solidFill>
                <a:schemeClr val="tx1">
                  <a:lumMod val="85000"/>
                  <a:lumOff val="15000"/>
                </a:schemeClr>
              </a:solidFill>
            </a:rPr>
            <a:t> Spent:</a:t>
          </a:r>
          <a:endParaRPr lang="en-US" sz="1100" b="1">
            <a:solidFill>
              <a:schemeClr val="tx1">
                <a:lumMod val="85000"/>
                <a:lumOff val="15000"/>
              </a:schemeClr>
            </a:solidFill>
          </a:endParaRPr>
        </a:p>
      </xdr:txBody>
    </xdr:sp>
    <xdr:clientData/>
  </xdr:twoCellAnchor>
  <xdr:twoCellAnchor>
    <xdr:from>
      <xdr:col>9</xdr:col>
      <xdr:colOff>449580</xdr:colOff>
      <xdr:row>34</xdr:row>
      <xdr:rowOff>45720</xdr:rowOff>
    </xdr:from>
    <xdr:to>
      <xdr:col>11</xdr:col>
      <xdr:colOff>396240</xdr:colOff>
      <xdr:row>35</xdr:row>
      <xdr:rowOff>121920</xdr:rowOff>
    </xdr:to>
    <xdr:sp macro="" textlink="">
      <xdr:nvSpPr>
        <xdr:cNvPr id="46" name="Rectangle 45">
          <a:extLst>
            <a:ext uri="{FF2B5EF4-FFF2-40B4-BE49-F238E27FC236}">
              <a16:creationId xmlns:a16="http://schemas.microsoft.com/office/drawing/2014/main" id="{66DFD091-A1B7-5869-9A1C-1188F35A3DF4}"/>
            </a:ext>
          </a:extLst>
        </xdr:cNvPr>
        <xdr:cNvSpPr/>
      </xdr:nvSpPr>
      <xdr:spPr>
        <a:xfrm>
          <a:off x="5935980" y="6263640"/>
          <a:ext cx="1165860" cy="2590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75000"/>
                  <a:lumOff val="25000"/>
                </a:schemeClr>
              </a:solidFill>
            </a:rPr>
            <a:t>Orders: 1</a:t>
          </a:r>
        </a:p>
      </xdr:txBody>
    </xdr:sp>
    <xdr:clientData/>
  </xdr:twoCellAnchor>
  <xdr:twoCellAnchor>
    <xdr:from>
      <xdr:col>14</xdr:col>
      <xdr:colOff>457200</xdr:colOff>
      <xdr:row>32</xdr:row>
      <xdr:rowOff>152400</xdr:rowOff>
    </xdr:from>
    <xdr:to>
      <xdr:col>15</xdr:col>
      <xdr:colOff>571500</xdr:colOff>
      <xdr:row>33</xdr:row>
      <xdr:rowOff>160020</xdr:rowOff>
    </xdr:to>
    <xdr:sp macro="" textlink="">
      <xdr:nvSpPr>
        <xdr:cNvPr id="47" name="Rectangle 46">
          <a:extLst>
            <a:ext uri="{FF2B5EF4-FFF2-40B4-BE49-F238E27FC236}">
              <a16:creationId xmlns:a16="http://schemas.microsoft.com/office/drawing/2014/main" id="{AE06D8DE-D11B-CF42-BB52-7571DD615B56}"/>
            </a:ext>
          </a:extLst>
        </xdr:cNvPr>
        <xdr:cNvSpPr/>
      </xdr:nvSpPr>
      <xdr:spPr>
        <a:xfrm>
          <a:off x="8991600" y="6004560"/>
          <a:ext cx="723900" cy="190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Revenue:</a:t>
          </a:r>
        </a:p>
      </xdr:txBody>
    </xdr:sp>
    <xdr:clientData/>
  </xdr:twoCellAnchor>
  <xdr:twoCellAnchor>
    <xdr:from>
      <xdr:col>15</xdr:col>
      <xdr:colOff>464820</xdr:colOff>
      <xdr:row>32</xdr:row>
      <xdr:rowOff>167640</xdr:rowOff>
    </xdr:from>
    <xdr:to>
      <xdr:col>16</xdr:col>
      <xdr:colOff>586740</xdr:colOff>
      <xdr:row>33</xdr:row>
      <xdr:rowOff>160020</xdr:rowOff>
    </xdr:to>
    <xdr:sp macro="" textlink="Analysis!K21">
      <xdr:nvSpPr>
        <xdr:cNvPr id="48" name="Rectangle 47">
          <a:extLst>
            <a:ext uri="{FF2B5EF4-FFF2-40B4-BE49-F238E27FC236}">
              <a16:creationId xmlns:a16="http://schemas.microsoft.com/office/drawing/2014/main" id="{D8D67092-654C-A117-253D-4DCF05C801F5}"/>
            </a:ext>
          </a:extLst>
        </xdr:cNvPr>
        <xdr:cNvSpPr/>
      </xdr:nvSpPr>
      <xdr:spPr>
        <a:xfrm>
          <a:off x="9608820" y="6019800"/>
          <a:ext cx="731520" cy="1752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4D97DF9-B730-4955-B894-C118C5A13CF9}" type="TxLink">
            <a:rPr lang="en-US" sz="1100" b="1" i="0" u="none" strike="noStrike">
              <a:solidFill>
                <a:srgbClr val="000000"/>
              </a:solidFill>
              <a:latin typeface="Aptos Narrow"/>
            </a:rPr>
            <a:pPr algn="l"/>
            <a:t>₦156,500</a:t>
          </a:fld>
          <a:endParaRPr lang="en-US" sz="1100" b="1"/>
        </a:p>
      </xdr:txBody>
    </xdr:sp>
    <xdr:clientData/>
  </xdr:twoCellAnchor>
  <xdr:twoCellAnchor editAs="oneCell">
    <xdr:from>
      <xdr:col>8</xdr:col>
      <xdr:colOff>302400</xdr:colOff>
      <xdr:row>30</xdr:row>
      <xdr:rowOff>106680</xdr:rowOff>
    </xdr:from>
    <xdr:to>
      <xdr:col>9</xdr:col>
      <xdr:colOff>548640</xdr:colOff>
      <xdr:row>35</xdr:row>
      <xdr:rowOff>66180</xdr:rowOff>
    </xdr:to>
    <xdr:pic>
      <xdr:nvPicPr>
        <xdr:cNvPr id="54" name="Graphic 53" descr="Badge New with solid fill">
          <a:extLst>
            <a:ext uri="{FF2B5EF4-FFF2-40B4-BE49-F238E27FC236}">
              <a16:creationId xmlns:a16="http://schemas.microsoft.com/office/drawing/2014/main" id="{85C10CA9-1DA7-BACD-9D04-81DEACFACA0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179200" y="5593080"/>
          <a:ext cx="855840" cy="873900"/>
        </a:xfrm>
        <a:prstGeom prst="rect">
          <a:avLst/>
        </a:prstGeom>
      </xdr:spPr>
    </xdr:pic>
    <xdr:clientData/>
  </xdr:twoCellAnchor>
  <xdr:twoCellAnchor editAs="oneCell">
    <xdr:from>
      <xdr:col>12</xdr:col>
      <xdr:colOff>403860</xdr:colOff>
      <xdr:row>30</xdr:row>
      <xdr:rowOff>53340</xdr:rowOff>
    </xdr:from>
    <xdr:to>
      <xdr:col>14</xdr:col>
      <xdr:colOff>99060</xdr:colOff>
      <xdr:row>35</xdr:row>
      <xdr:rowOff>53340</xdr:rowOff>
    </xdr:to>
    <xdr:pic>
      <xdr:nvPicPr>
        <xdr:cNvPr id="56" name="Graphic 55" descr="Trophy with solid fill">
          <a:extLst>
            <a:ext uri="{FF2B5EF4-FFF2-40B4-BE49-F238E27FC236}">
              <a16:creationId xmlns:a16="http://schemas.microsoft.com/office/drawing/2014/main" id="{F4A55682-B54D-ABF2-0CCF-2530CBF10A0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719060" y="5539740"/>
          <a:ext cx="914400" cy="914400"/>
        </a:xfrm>
        <a:prstGeom prst="rect">
          <a:avLst/>
        </a:prstGeom>
      </xdr:spPr>
    </xdr:pic>
    <xdr:clientData/>
  </xdr:twoCellAnchor>
  <xdr:twoCellAnchor>
    <xdr:from>
      <xdr:col>14</xdr:col>
      <xdr:colOff>205740</xdr:colOff>
      <xdr:row>30</xdr:row>
      <xdr:rowOff>76200</xdr:rowOff>
    </xdr:from>
    <xdr:to>
      <xdr:col>14</xdr:col>
      <xdr:colOff>205740</xdr:colOff>
      <xdr:row>35</xdr:row>
      <xdr:rowOff>76200</xdr:rowOff>
    </xdr:to>
    <xdr:cxnSp macro="">
      <xdr:nvCxnSpPr>
        <xdr:cNvPr id="58" name="Straight Connector 57">
          <a:extLst>
            <a:ext uri="{FF2B5EF4-FFF2-40B4-BE49-F238E27FC236}">
              <a16:creationId xmlns:a16="http://schemas.microsoft.com/office/drawing/2014/main" id="{72B5EB22-1279-D4E8-C0C3-B1D02E9EE9B7}"/>
            </a:ext>
          </a:extLst>
        </xdr:cNvPr>
        <xdr:cNvCxnSpPr/>
      </xdr:nvCxnSpPr>
      <xdr:spPr>
        <a:xfrm>
          <a:off x="8740140" y="5562600"/>
          <a:ext cx="0" cy="914400"/>
        </a:xfrm>
        <a:prstGeom prst="line">
          <a:avLst/>
        </a:prstGeom>
        <a:effectLst>
          <a:outerShdw blurRad="50800" dist="38100" dir="5400000" algn="t"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9</xdr:col>
      <xdr:colOff>0</xdr:colOff>
      <xdr:row>2</xdr:row>
      <xdr:rowOff>167640</xdr:rowOff>
    </xdr:from>
    <xdr:to>
      <xdr:col>10</xdr:col>
      <xdr:colOff>304800</xdr:colOff>
      <xdr:row>7</xdr:row>
      <xdr:rowOff>167640</xdr:rowOff>
    </xdr:to>
    <xdr:pic>
      <xdr:nvPicPr>
        <xdr:cNvPr id="49" name="Graphic 48" descr="User with solid fill">
          <a:extLst>
            <a:ext uri="{FF2B5EF4-FFF2-40B4-BE49-F238E27FC236}">
              <a16:creationId xmlns:a16="http://schemas.microsoft.com/office/drawing/2014/main" id="{182AE178-5A8D-CFF6-AC0F-BAF1C46D98E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486400" y="533400"/>
          <a:ext cx="914400" cy="914400"/>
        </a:xfrm>
        <a:prstGeom prst="rect">
          <a:avLst/>
        </a:prstGeom>
      </xdr:spPr>
    </xdr:pic>
    <xdr:clientData/>
  </xdr:twoCellAnchor>
  <xdr:twoCellAnchor editAs="oneCell">
    <xdr:from>
      <xdr:col>0</xdr:col>
      <xdr:colOff>89040</xdr:colOff>
      <xdr:row>3</xdr:row>
      <xdr:rowOff>35700</xdr:rowOff>
    </xdr:from>
    <xdr:to>
      <xdr:col>1</xdr:col>
      <xdr:colOff>393840</xdr:colOff>
      <xdr:row>8</xdr:row>
      <xdr:rowOff>35700</xdr:rowOff>
    </xdr:to>
    <xdr:pic>
      <xdr:nvPicPr>
        <xdr:cNvPr id="51" name="Graphic 50" descr="Bar graph with upward trend with solid fill">
          <a:extLst>
            <a:ext uri="{FF2B5EF4-FFF2-40B4-BE49-F238E27FC236}">
              <a16:creationId xmlns:a16="http://schemas.microsoft.com/office/drawing/2014/main" id="{61F24644-1324-3751-59FA-6F04B695A2C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9040" y="584340"/>
          <a:ext cx="914400" cy="914400"/>
        </a:xfrm>
        <a:prstGeom prst="rect">
          <a:avLst/>
        </a:prstGeom>
      </xdr:spPr>
    </xdr:pic>
    <xdr:clientData/>
  </xdr:twoCellAnchor>
  <xdr:twoCellAnchor editAs="oneCell">
    <xdr:from>
      <xdr:col>13</xdr:col>
      <xdr:colOff>243840</xdr:colOff>
      <xdr:row>3</xdr:row>
      <xdr:rowOff>53340</xdr:rowOff>
    </xdr:from>
    <xdr:to>
      <xdr:col>14</xdr:col>
      <xdr:colOff>548640</xdr:colOff>
      <xdr:row>8</xdr:row>
      <xdr:rowOff>7620</xdr:rowOff>
    </xdr:to>
    <xdr:pic>
      <xdr:nvPicPr>
        <xdr:cNvPr id="53" name="Graphic 52" descr="Shopping cart with solid fill">
          <a:extLst>
            <a:ext uri="{FF2B5EF4-FFF2-40B4-BE49-F238E27FC236}">
              <a16:creationId xmlns:a16="http://schemas.microsoft.com/office/drawing/2014/main" id="{163BA9E3-7B82-056D-BEDC-8B63CC8B33D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168640" y="601980"/>
          <a:ext cx="914400" cy="868680"/>
        </a:xfrm>
        <a:prstGeom prst="rect">
          <a:avLst/>
        </a:prstGeom>
      </xdr:spPr>
    </xdr:pic>
    <xdr:clientData/>
  </xdr:twoCellAnchor>
  <xdr:twoCellAnchor editAs="oneCell">
    <xdr:from>
      <xdr:col>4</xdr:col>
      <xdr:colOff>370980</xdr:colOff>
      <xdr:row>3</xdr:row>
      <xdr:rowOff>20460</xdr:rowOff>
    </xdr:from>
    <xdr:to>
      <xdr:col>6</xdr:col>
      <xdr:colOff>66180</xdr:colOff>
      <xdr:row>8</xdr:row>
      <xdr:rowOff>20460</xdr:rowOff>
    </xdr:to>
    <xdr:pic>
      <xdr:nvPicPr>
        <xdr:cNvPr id="57" name="Graphic 56" descr="Customer review with solid fill">
          <a:extLst>
            <a:ext uri="{FF2B5EF4-FFF2-40B4-BE49-F238E27FC236}">
              <a16:creationId xmlns:a16="http://schemas.microsoft.com/office/drawing/2014/main" id="{F7A9F7CC-7618-E497-2CC9-643543717ED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809380" y="569100"/>
          <a:ext cx="914400" cy="914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4.484793171294" createdVersion="8" refreshedVersion="8" minRefreshableVersion="3" recordCount="15" xr:uid="{436C1109-0242-49BB-A01F-6F2A00DF3293}">
  <cacheSource type="worksheet">
    <worksheetSource ref="A1:M16" sheet="Raw data"/>
  </cacheSource>
  <cacheFields count="15">
    <cacheField name="OrderID" numFmtId="0">
      <sharedItems containsSemiMixedTypes="0" containsString="0" containsNumber="1" containsInteger="1" minValue="2001" maxValue="2015"/>
    </cacheField>
    <cacheField name="CustomerName" numFmtId="0">
      <sharedItems/>
    </cacheField>
    <cacheField name="Gender" numFmtId="0">
      <sharedItems count="2">
        <s v="Male"/>
        <s v="Female"/>
      </sharedItems>
    </cacheField>
    <cacheField name="Age" numFmtId="0">
      <sharedItems containsSemiMixedTypes="0" containsString="0" containsNumber="1" containsInteger="1" minValue="22" maxValue="50"/>
    </cacheField>
    <cacheField name="City" numFmtId="0">
      <sharedItems count="7">
        <s v="Lagos"/>
        <s v="Abuja"/>
        <s v="Ibadan"/>
        <s v="Kano"/>
        <s v="Enugu"/>
        <s v="Kaduna"/>
        <s v="Oweri"/>
      </sharedItems>
    </cacheField>
    <cacheField name="Product" numFmtId="0">
      <sharedItems/>
    </cacheField>
    <cacheField name="Category" numFmtId="0">
      <sharedItems count="4">
        <s v="Electronics"/>
        <s v="Accessories"/>
        <s v="Furniture"/>
        <s v="Stationery"/>
      </sharedItems>
    </cacheField>
    <cacheField name="Quantity" numFmtId="0">
      <sharedItems containsSemiMixedTypes="0" containsString="0" containsNumber="1" containsInteger="1" minValue="1" maxValue="6"/>
    </cacheField>
    <cacheField name="UnitPrice" numFmtId="0">
      <sharedItems containsSemiMixedTypes="0" containsString="0" containsNumber="1" containsInteger="1" minValue="800" maxValue="65000"/>
    </cacheField>
    <cacheField name="OrderDate" numFmtId="14">
      <sharedItems containsSemiMixedTypes="0" containsNonDate="0" containsDate="1" containsString="0" minDate="2026-01-02T00:00:00" maxDate="2026-08-03T00:00:00" count="8">
        <d v="2026-01-02T00:00:00"/>
        <d v="2026-02-02T00:00:00"/>
        <d v="2026-03-02T00:00:00"/>
        <d v="2026-04-02T00:00:00"/>
        <d v="2026-05-02T00:00:00"/>
        <d v="2026-06-02T00:00:00"/>
        <d v="2026-07-02T00:00:00"/>
        <d v="2026-08-02T00:00:00"/>
      </sharedItems>
      <fieldGroup par="14"/>
    </cacheField>
    <cacheField name="PaymentMethod" numFmtId="0">
      <sharedItems count="3">
        <s v="Card"/>
        <s v="Transfer"/>
        <s v="Cash"/>
      </sharedItems>
    </cacheField>
    <cacheField name="CustomerSegment" numFmtId="0">
      <sharedItems count="3">
        <s v="Regular"/>
        <s v="Premium"/>
        <s v="Business"/>
      </sharedItems>
    </cacheField>
    <cacheField name="Total Sales" numFmtId="0">
      <sharedItems containsSemiMixedTypes="0" containsString="0" containsNumber="1" containsInteger="1" minValue="4000" maxValue="65000"/>
    </cacheField>
    <cacheField name="Days (OrderDate)" numFmtId="0" databaseField="0">
      <fieldGroup base="9">
        <rangePr groupBy="days" startDate="2026-01-02T00:00:00" endDate="2026-08-03T00:00:00"/>
        <groupItems count="368">
          <s v="&lt;1/2/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3/2026"/>
        </groupItems>
      </fieldGroup>
    </cacheField>
    <cacheField name="Months (OrderDate)" numFmtId="0" databaseField="0">
      <fieldGroup base="9">
        <rangePr groupBy="months" startDate="2026-01-02T00:00:00" endDate="2026-08-03T00:00:00"/>
        <groupItems count="14">
          <s v="&lt;1/2/2026"/>
          <s v="Jan"/>
          <s v="Feb"/>
          <s v="Mar"/>
          <s v="Apr"/>
          <s v="May"/>
          <s v="Jun"/>
          <s v="Jul"/>
          <s v="Aug"/>
          <s v="Sep"/>
          <s v="Oct"/>
          <s v="Nov"/>
          <s v="Dec"/>
          <s v="&gt;8/3/2026"/>
        </groupItems>
      </fieldGroup>
    </cacheField>
  </cacheFields>
  <extLst>
    <ext xmlns:x14="http://schemas.microsoft.com/office/spreadsheetml/2009/9/main" uri="{725AE2AE-9491-48be-B2B4-4EB974FC3084}">
      <x14:pivotCacheDefinition pivotCacheId="20407620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1.757629976855" createdVersion="8" refreshedVersion="8" minRefreshableVersion="3" recordCount="15" xr:uid="{D06B93FE-480E-449F-8A0B-72243C43D913}">
  <cacheSource type="worksheet">
    <worksheetSource ref="A1:N16" sheet="Raw data"/>
  </cacheSource>
  <cacheFields count="14">
    <cacheField name="OrderID" numFmtId="0">
      <sharedItems containsSemiMixedTypes="0" containsString="0" containsNumber="1" containsInteger="1" minValue="2001" maxValue="2015"/>
    </cacheField>
    <cacheField name="CustomerName" numFmtId="0">
      <sharedItems count="14">
        <s v="John Doe"/>
        <s v="Jane Smith"/>
        <s v="Michael Johnson"/>
        <s v="Grace Lee"/>
        <s v="David Brown"/>
        <s v="Sarah Adams"/>
        <s v="Peter Obi"/>
        <s v="Chioma Okafor"/>
        <s v="Emeka Nwosu"/>
        <s v="Aisha Bello"/>
        <s v="Tunde Bakare"/>
        <s v="Mary James"/>
        <s v="Paul Okoye"/>
        <s v="Linda White"/>
      </sharedItems>
    </cacheField>
    <cacheField name="Gender" numFmtId="0">
      <sharedItems/>
    </cacheField>
    <cacheField name="Age" numFmtId="0">
      <sharedItems containsSemiMixedTypes="0" containsString="0" containsNumber="1" containsInteger="1" minValue="22" maxValue="50"/>
    </cacheField>
    <cacheField name="City" numFmtId="0">
      <sharedItems/>
    </cacheField>
    <cacheField name="Product" numFmtId="0">
      <sharedItems/>
    </cacheField>
    <cacheField name="Category" numFmtId="0">
      <sharedItems count="4">
        <s v="Electronics"/>
        <s v="Accessories"/>
        <s v="Furniture"/>
        <s v="Stationery"/>
      </sharedItems>
    </cacheField>
    <cacheField name="Quantity" numFmtId="0">
      <sharedItems containsSemiMixedTypes="0" containsString="0" containsNumber="1" containsInteger="1" minValue="1" maxValue="6"/>
    </cacheField>
    <cacheField name="UnitPrice" numFmtId="0">
      <sharedItems containsSemiMixedTypes="0" containsString="0" containsNumber="1" containsInteger="1" minValue="800" maxValue="65000"/>
    </cacheField>
    <cacheField name="OrderDate" numFmtId="14">
      <sharedItems containsSemiMixedTypes="0" containsNonDate="0" containsDate="1" containsString="0" minDate="2026-01-02T00:00:00" maxDate="2026-08-03T00:00:00"/>
    </cacheField>
    <cacheField name="PaymentMethod" numFmtId="0">
      <sharedItems/>
    </cacheField>
    <cacheField name="CustomerSegment" numFmtId="0">
      <sharedItems/>
    </cacheField>
    <cacheField name="Total Sales" numFmtId="0">
      <sharedItems containsSemiMixedTypes="0" containsString="0" containsNumber="1" containsInteger="1" minValue="4000" maxValue="65000"/>
    </cacheField>
    <cacheField name="Age Group" numFmtId="0">
      <sharedItems count="3">
        <s v="26-35"/>
        <s v="36-50"/>
        <s v="18-2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2001"/>
    <s v="John Doe"/>
    <x v="0"/>
    <n v="28"/>
    <x v="0"/>
    <s v="Wireless Mouse"/>
    <x v="0"/>
    <n v="2"/>
    <n v="5000"/>
    <x v="0"/>
    <x v="0"/>
    <x v="0"/>
    <n v="10000"/>
  </r>
  <r>
    <n v="2002"/>
    <s v="Jane Smith"/>
    <x v="1"/>
    <n v="34"/>
    <x v="1"/>
    <s v="Laptop Stand"/>
    <x v="1"/>
    <n v="1"/>
    <n v="12000"/>
    <x v="1"/>
    <x v="1"/>
    <x v="1"/>
    <n v="12000"/>
  </r>
  <r>
    <n v="2003"/>
    <s v="Michael Johnson"/>
    <x v="0"/>
    <n v="41"/>
    <x v="2"/>
    <s v="USB Cable"/>
    <x v="0"/>
    <n v="3"/>
    <n v="1500"/>
    <x v="1"/>
    <x v="2"/>
    <x v="0"/>
    <n v="4500"/>
  </r>
  <r>
    <n v="2004"/>
    <s v="Grace Lee"/>
    <x v="1"/>
    <n v="25"/>
    <x v="0"/>
    <s v="Bluetooth Speaker"/>
    <x v="0"/>
    <n v="1"/>
    <n v="18000"/>
    <x v="2"/>
    <x v="0"/>
    <x v="1"/>
    <n v="18000"/>
  </r>
  <r>
    <n v="2005"/>
    <s v="David Brown"/>
    <x v="0"/>
    <n v="38"/>
    <x v="3"/>
    <s v="Office Chair"/>
    <x v="2"/>
    <n v="1"/>
    <n v="45000"/>
    <x v="2"/>
    <x v="1"/>
    <x v="2"/>
    <n v="45000"/>
  </r>
  <r>
    <n v="2006"/>
    <s v="Sarah Adams"/>
    <x v="1"/>
    <n v="29"/>
    <x v="2"/>
    <s v="Notebook"/>
    <x v="3"/>
    <n v="5"/>
    <n v="800"/>
    <x v="3"/>
    <x v="2"/>
    <x v="0"/>
    <n v="4000"/>
  </r>
  <r>
    <n v="2007"/>
    <s v="Peter Obi"/>
    <x v="0"/>
    <n v="45"/>
    <x v="4"/>
    <s v="Desk Lamp"/>
    <x v="1"/>
    <n v="2"/>
    <n v="7000"/>
    <x v="4"/>
    <x v="1"/>
    <x v="2"/>
    <n v="14000"/>
  </r>
  <r>
    <n v="2008"/>
    <s v="Chioma Okafor"/>
    <x v="1"/>
    <n v="31"/>
    <x v="1"/>
    <s v="Power Bank"/>
    <x v="0"/>
    <n v="1"/>
    <n v="15000"/>
    <x v="4"/>
    <x v="0"/>
    <x v="1"/>
    <n v="15000"/>
  </r>
  <r>
    <n v="2009"/>
    <s v="Emeka Nwosu"/>
    <x v="0"/>
    <n v="36"/>
    <x v="5"/>
    <s v="Monitor"/>
    <x v="0"/>
    <n v="1"/>
    <n v="65000"/>
    <x v="5"/>
    <x v="0"/>
    <x v="2"/>
    <n v="65000"/>
  </r>
  <r>
    <n v="2010"/>
    <s v="Aisha Bello"/>
    <x v="1"/>
    <n v="27"/>
    <x v="5"/>
    <s v="Keyboard"/>
    <x v="0"/>
    <n v="2"/>
    <n v="6000"/>
    <x v="5"/>
    <x v="1"/>
    <x v="0"/>
    <n v="12000"/>
  </r>
  <r>
    <n v="2011"/>
    <s v="Tunde Bakare"/>
    <x v="0"/>
    <n v="50"/>
    <x v="0"/>
    <s v="Office Desk"/>
    <x v="2"/>
    <n v="1"/>
    <n v="55000"/>
    <x v="6"/>
    <x v="2"/>
    <x v="2"/>
    <n v="55000"/>
  </r>
  <r>
    <n v="2012"/>
    <s v="Mary James"/>
    <x v="1"/>
    <n v="33"/>
    <x v="2"/>
    <s v="Pen Pack"/>
    <x v="3"/>
    <n v="4"/>
    <n v="1200"/>
    <x v="6"/>
    <x v="0"/>
    <x v="0"/>
    <n v="4800"/>
  </r>
  <r>
    <n v="2013"/>
    <s v="Paul Okoye"/>
    <x v="0"/>
    <n v="40"/>
    <x v="4"/>
    <s v="Headphones"/>
    <x v="0"/>
    <n v="1"/>
    <n v="22000"/>
    <x v="7"/>
    <x v="1"/>
    <x v="1"/>
    <n v="22000"/>
  </r>
  <r>
    <n v="2014"/>
    <s v="Linda White"/>
    <x v="1"/>
    <n v="22"/>
    <x v="6"/>
    <s v="Notebook"/>
    <x v="3"/>
    <n v="6"/>
    <n v="800"/>
    <x v="7"/>
    <x v="2"/>
    <x v="0"/>
    <n v="4800"/>
  </r>
  <r>
    <n v="2015"/>
    <s v="John Doe"/>
    <x v="0"/>
    <n v="28"/>
    <x v="0"/>
    <s v="Wireless Mouse"/>
    <x v="0"/>
    <n v="2"/>
    <n v="5000"/>
    <x v="7"/>
    <x v="0"/>
    <x v="0"/>
    <n v="1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2001"/>
    <x v="0"/>
    <s v="Male"/>
    <n v="28"/>
    <s v="Lagos"/>
    <s v="Wireless Mouse"/>
    <x v="0"/>
    <n v="2"/>
    <n v="5000"/>
    <d v="2026-01-02T00:00:00"/>
    <s v="Card"/>
    <s v="Regular"/>
    <n v="10000"/>
    <x v="0"/>
  </r>
  <r>
    <n v="2002"/>
    <x v="1"/>
    <s v="Female"/>
    <n v="34"/>
    <s v="Abuja"/>
    <s v="Laptop Stand"/>
    <x v="1"/>
    <n v="1"/>
    <n v="12000"/>
    <d v="2026-02-02T00:00:00"/>
    <s v="Transfer"/>
    <s v="Premium"/>
    <n v="12000"/>
    <x v="0"/>
  </r>
  <r>
    <n v="2003"/>
    <x v="2"/>
    <s v="Male"/>
    <n v="41"/>
    <s v="Ibadan"/>
    <s v="USB Cable"/>
    <x v="0"/>
    <n v="3"/>
    <n v="1500"/>
    <d v="2026-02-02T00:00:00"/>
    <s v="Cash"/>
    <s v="Regular"/>
    <n v="4500"/>
    <x v="1"/>
  </r>
  <r>
    <n v="2004"/>
    <x v="3"/>
    <s v="Female"/>
    <n v="25"/>
    <s v="Lagos"/>
    <s v="Bluetooth Speaker"/>
    <x v="0"/>
    <n v="1"/>
    <n v="18000"/>
    <d v="2026-03-02T00:00:00"/>
    <s v="Card"/>
    <s v="Premium"/>
    <n v="18000"/>
    <x v="2"/>
  </r>
  <r>
    <n v="2005"/>
    <x v="4"/>
    <s v="Male"/>
    <n v="38"/>
    <s v="Kano"/>
    <s v="Office Chair"/>
    <x v="2"/>
    <n v="1"/>
    <n v="45000"/>
    <d v="2026-03-02T00:00:00"/>
    <s v="Transfer"/>
    <s v="Business"/>
    <n v="45000"/>
    <x v="1"/>
  </r>
  <r>
    <n v="2006"/>
    <x v="5"/>
    <s v="Female"/>
    <n v="29"/>
    <s v="Ibadan"/>
    <s v="Notebook"/>
    <x v="3"/>
    <n v="5"/>
    <n v="800"/>
    <d v="2026-04-02T00:00:00"/>
    <s v="Cash"/>
    <s v="Regular"/>
    <n v="4000"/>
    <x v="0"/>
  </r>
  <r>
    <n v="2007"/>
    <x v="6"/>
    <s v="Male"/>
    <n v="45"/>
    <s v="Enugu"/>
    <s v="Desk Lamp"/>
    <x v="1"/>
    <n v="2"/>
    <n v="7000"/>
    <d v="2026-05-02T00:00:00"/>
    <s v="Transfer"/>
    <s v="Business"/>
    <n v="14000"/>
    <x v="1"/>
  </r>
  <r>
    <n v="2008"/>
    <x v="7"/>
    <s v="Female"/>
    <n v="31"/>
    <s v="Abuja"/>
    <s v="Power Bank"/>
    <x v="0"/>
    <n v="1"/>
    <n v="15000"/>
    <d v="2026-05-02T00:00:00"/>
    <s v="Card"/>
    <s v="Premium"/>
    <n v="15000"/>
    <x v="0"/>
  </r>
  <r>
    <n v="2009"/>
    <x v="8"/>
    <s v="Male"/>
    <n v="36"/>
    <s v="Kaduna"/>
    <s v="Monitor"/>
    <x v="0"/>
    <n v="1"/>
    <n v="65000"/>
    <d v="2026-06-02T00:00:00"/>
    <s v="Card"/>
    <s v="Business"/>
    <n v="65000"/>
    <x v="1"/>
  </r>
  <r>
    <n v="2010"/>
    <x v="9"/>
    <s v="Female"/>
    <n v="27"/>
    <s v="Kaduna"/>
    <s v="Keyboard"/>
    <x v="0"/>
    <n v="2"/>
    <n v="6000"/>
    <d v="2026-06-02T00:00:00"/>
    <s v="Transfer"/>
    <s v="Regular"/>
    <n v="12000"/>
    <x v="0"/>
  </r>
  <r>
    <n v="2011"/>
    <x v="10"/>
    <s v="Male"/>
    <n v="50"/>
    <s v="Lagos"/>
    <s v="Office Desk"/>
    <x v="2"/>
    <n v="1"/>
    <n v="55000"/>
    <d v="2026-07-02T00:00:00"/>
    <s v="Cash"/>
    <s v="Business"/>
    <n v="55000"/>
    <x v="1"/>
  </r>
  <r>
    <n v="2012"/>
    <x v="11"/>
    <s v="Female"/>
    <n v="33"/>
    <s v="Ibadan"/>
    <s v="Pen Pack"/>
    <x v="3"/>
    <n v="4"/>
    <n v="1200"/>
    <d v="2026-07-02T00:00:00"/>
    <s v="Card"/>
    <s v="Regular"/>
    <n v="4800"/>
    <x v="0"/>
  </r>
  <r>
    <n v="2013"/>
    <x v="12"/>
    <s v="Male"/>
    <n v="40"/>
    <s v="Enugu"/>
    <s v="Headphones"/>
    <x v="0"/>
    <n v="1"/>
    <n v="22000"/>
    <d v="2026-08-02T00:00:00"/>
    <s v="Transfer"/>
    <s v="Premium"/>
    <n v="22000"/>
    <x v="1"/>
  </r>
  <r>
    <n v="2014"/>
    <x v="13"/>
    <s v="Female"/>
    <n v="22"/>
    <s v="Oweri"/>
    <s v="Notebook"/>
    <x v="3"/>
    <n v="6"/>
    <n v="800"/>
    <d v="2026-08-02T00:00:00"/>
    <s v="Cash"/>
    <s v="Regular"/>
    <n v="4800"/>
    <x v="2"/>
  </r>
  <r>
    <n v="2015"/>
    <x v="0"/>
    <s v="Male"/>
    <n v="28"/>
    <s v="Lagos"/>
    <s v="Wireless Mouse"/>
    <x v="0"/>
    <n v="2"/>
    <n v="5000"/>
    <d v="2026-08-02T00:00:00"/>
    <s v="Card"/>
    <s v="Regular"/>
    <n v="1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B823CE-4284-48A1-B376-F49CB4412DF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G8:H10" firstHeaderRow="1" firstDataRow="1" firstDataCol="1"/>
  <pivotFields count="15">
    <pivotField showAll="0"/>
    <pivotField showAll="0"/>
    <pivotField axis="axisRow" showAll="0">
      <items count="3">
        <item x="1"/>
        <item x="0"/>
        <item t="default"/>
      </items>
    </pivotField>
    <pivotField showAll="0"/>
    <pivotField showAll="0">
      <items count="8">
        <item x="1"/>
        <item x="4"/>
        <item x="2"/>
        <item x="5"/>
        <item x="3"/>
        <item x="0"/>
        <item x="6"/>
        <item t="default"/>
      </items>
    </pivotField>
    <pivotField showAll="0"/>
    <pivotField showAll="0">
      <items count="5">
        <item x="1"/>
        <item x="0"/>
        <item x="2"/>
        <item x="3"/>
        <item t="default"/>
      </items>
    </pivotField>
    <pivotField showAll="0"/>
    <pivotField showAll="0"/>
    <pivotField numFmtId="14" showAll="0">
      <items count="9">
        <item x="0"/>
        <item x="1"/>
        <item x="2"/>
        <item x="3"/>
        <item x="4"/>
        <item x="5"/>
        <item x="6"/>
        <item x="7"/>
        <item t="default"/>
      </items>
    </pivotField>
    <pivotField showAll="0">
      <items count="4">
        <item x="0"/>
        <item x="2"/>
        <item x="1"/>
        <item t="default"/>
      </items>
    </pivotField>
    <pivotField showAll="0">
      <items count="4">
        <item x="2"/>
        <item x="1"/>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i>
    <i>
      <x v="1"/>
    </i>
  </rowItems>
  <colItems count="1">
    <i/>
  </colItems>
  <dataFields count="1">
    <dataField name="Sum of Total Sales" fld="12" baseField="0" baseItem="0" numFmtId="164"/>
  </dataFields>
  <formats count="1">
    <format dxfId="0">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D23128-7122-40A5-AA76-08D9115D45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5">
    <pivotField showAll="0"/>
    <pivotField showAll="0"/>
    <pivotField showAll="0"/>
    <pivotField showAll="0"/>
    <pivotField showAll="0">
      <items count="8">
        <item x="1"/>
        <item x="4"/>
        <item x="2"/>
        <item x="5"/>
        <item x="3"/>
        <item x="0"/>
        <item x="6"/>
        <item t="default"/>
      </items>
    </pivotField>
    <pivotField showAll="0"/>
    <pivotField showAll="0">
      <items count="5">
        <item x="1"/>
        <item x="0"/>
        <item x="2"/>
        <item x="3"/>
        <item t="default"/>
      </items>
    </pivotField>
    <pivotField showAll="0"/>
    <pivotField showAll="0"/>
    <pivotField numFmtId="14" showAll="0">
      <items count="9">
        <item x="0"/>
        <item x="1"/>
        <item x="2"/>
        <item x="3"/>
        <item x="4"/>
        <item x="5"/>
        <item x="6"/>
        <item x="7"/>
        <item t="default"/>
      </items>
    </pivotField>
    <pivotField showAll="0"/>
    <pivotField showAll="0">
      <items count="4">
        <item x="2"/>
        <item x="1"/>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12"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367E53-8ADF-461A-A04B-A1EFE2C8647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C8:D11" firstHeaderRow="1" firstDataRow="1" firstDataCol="1"/>
  <pivotFields count="15">
    <pivotField showAll="0"/>
    <pivotField showAll="0"/>
    <pivotField showAll="0"/>
    <pivotField showAll="0"/>
    <pivotField showAll="0">
      <items count="8">
        <item x="1"/>
        <item x="4"/>
        <item x="2"/>
        <item x="5"/>
        <item x="3"/>
        <item x="0"/>
        <item x="6"/>
        <item t="default"/>
      </items>
    </pivotField>
    <pivotField showAll="0"/>
    <pivotField showAll="0">
      <items count="5">
        <item x="1"/>
        <item x="0"/>
        <item x="2"/>
        <item x="3"/>
        <item t="default"/>
      </items>
    </pivotField>
    <pivotField showAll="0"/>
    <pivotField showAll="0"/>
    <pivotField numFmtId="14" showAll="0">
      <items count="9">
        <item x="0"/>
        <item x="1"/>
        <item x="2"/>
        <item x="3"/>
        <item x="4"/>
        <item x="5"/>
        <item x="6"/>
        <item x="7"/>
        <item t="default"/>
      </items>
    </pivotField>
    <pivotField showAll="0">
      <items count="4">
        <item x="0"/>
        <item x="2"/>
        <item x="1"/>
        <item t="default"/>
      </items>
    </pivotField>
    <pivotField axis="axisRow" showAll="0">
      <items count="4">
        <item x="2"/>
        <item x="1"/>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3">
    <i>
      <x/>
    </i>
    <i>
      <x v="1"/>
    </i>
    <i>
      <x v="2"/>
    </i>
  </rowItems>
  <colItems count="1">
    <i/>
  </colItems>
  <dataFields count="1">
    <dataField name="Sum of Total Sales" fld="12" baseField="0" baseItem="0" numFmtId="164"/>
  </dataFields>
  <formats count="4">
    <format dxfId="5">
      <pivotArea collapsedLevelsAreSubtotals="1" fieldPosition="0">
        <references count="1">
          <reference field="11" count="1">
            <x v="0"/>
          </reference>
        </references>
      </pivotArea>
    </format>
    <format dxfId="4">
      <pivotArea collapsedLevelsAreSubtotals="1" fieldPosition="0">
        <references count="1">
          <reference field="11" count="1">
            <x v="1"/>
          </reference>
        </references>
      </pivotArea>
    </format>
    <format dxfId="3">
      <pivotArea collapsedLevelsAreSubtotals="1" fieldPosition="0">
        <references count="1">
          <reference field="11" count="1">
            <x v="2"/>
          </reference>
        </references>
      </pivotArea>
    </format>
    <format dxfId="2">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 chart="2" format="5">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5A0136-EE13-41C4-B3E4-4D297DA92B4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G14:H22" firstHeaderRow="1" firstDataRow="1" firstDataCol="1"/>
  <pivotFields count="15">
    <pivotField showAll="0"/>
    <pivotField showAll="0"/>
    <pivotField showAll="0"/>
    <pivotField showAll="0"/>
    <pivotField showAll="0">
      <items count="8">
        <item x="1"/>
        <item x="4"/>
        <item x="2"/>
        <item x="5"/>
        <item x="3"/>
        <item x="0"/>
        <item x="6"/>
        <item t="default"/>
      </items>
    </pivotField>
    <pivotField showAll="0"/>
    <pivotField showAll="0">
      <items count="5">
        <item x="1"/>
        <item x="0"/>
        <item x="2"/>
        <item x="3"/>
        <item t="default"/>
      </items>
    </pivotField>
    <pivotField showAll="0"/>
    <pivotField showAll="0"/>
    <pivotField numFmtId="14" showAll="0">
      <items count="9">
        <item x="0"/>
        <item x="1"/>
        <item x="2"/>
        <item x="3"/>
        <item x="4"/>
        <item x="5"/>
        <item x="6"/>
        <item x="7"/>
        <item t="default"/>
      </items>
    </pivotField>
    <pivotField showAll="0">
      <items count="4">
        <item x="0"/>
        <item x="2"/>
        <item x="1"/>
        <item t="default"/>
      </items>
    </pivotField>
    <pivotField showAll="0">
      <items count="4">
        <item x="2"/>
        <item x="1"/>
        <item x="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8">
    <i>
      <x v="1"/>
    </i>
    <i>
      <x v="2"/>
    </i>
    <i>
      <x v="3"/>
    </i>
    <i>
      <x v="4"/>
    </i>
    <i>
      <x v="5"/>
    </i>
    <i>
      <x v="6"/>
    </i>
    <i>
      <x v="7"/>
    </i>
    <i>
      <x v="8"/>
    </i>
  </rowItems>
  <colItems count="1">
    <i/>
  </colItems>
  <dataFields count="1">
    <dataField name="Sum of Total Sales" fld="12" baseField="0" baseItem="0" numFmtId="164"/>
  </dataFields>
  <formats count="1">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0AAAF4-9F9F-4872-B39D-8FE00F6472A5}"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20:K24" firstHeaderRow="1" firstDataRow="1" firstDataCol="1"/>
  <pivotFields count="14">
    <pivotField showAll="0"/>
    <pivotField showAll="0" sortType="descending">
      <items count="15">
        <item x="9"/>
        <item x="7"/>
        <item x="4"/>
        <item x="8"/>
        <item x="3"/>
        <item x="1"/>
        <item x="0"/>
        <item x="13"/>
        <item x="11"/>
        <item x="2"/>
        <item x="12"/>
        <item x="6"/>
        <item x="5"/>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showAll="0"/>
    <pivotField dataField="1" showAll="0"/>
    <pivotField showAll="0"/>
  </pivotFields>
  <rowFields count="1">
    <field x="6"/>
  </rowFields>
  <rowItems count="4">
    <i>
      <x v="1"/>
    </i>
    <i>
      <x v="2"/>
    </i>
    <i>
      <x/>
    </i>
    <i>
      <x v="3"/>
    </i>
  </rowItems>
  <colItems count="1">
    <i/>
  </colItems>
  <dataFields count="1">
    <dataField name="Sum of Total Sales" fld="12" baseField="0" baseItem="0"/>
  </dataFields>
  <formats count="1">
    <format dxfId="7">
      <pivotArea collapsedLevelsAreSubtotals="1" fieldPosition="0">
        <references count="1">
          <reference field="6"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4419EF-6A91-49E4-B6E2-31295BDD6ED4}"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C2:D5" firstHeaderRow="1" firstDataRow="1" firstDataCol="1"/>
  <pivotFields count="15">
    <pivotField showAll="0"/>
    <pivotField showAll="0"/>
    <pivotField showAll="0"/>
    <pivotField showAll="0"/>
    <pivotField showAll="0">
      <items count="8">
        <item x="1"/>
        <item x="4"/>
        <item x="2"/>
        <item x="5"/>
        <item x="3"/>
        <item x="0"/>
        <item x="6"/>
        <item t="default"/>
      </items>
    </pivotField>
    <pivotField showAll="0"/>
    <pivotField showAll="0">
      <items count="5">
        <item x="1"/>
        <item x="0"/>
        <item x="2"/>
        <item x="3"/>
        <item t="default"/>
      </items>
    </pivotField>
    <pivotField showAll="0"/>
    <pivotField showAll="0"/>
    <pivotField numFmtId="14" showAll="0">
      <items count="9">
        <item x="0"/>
        <item x="1"/>
        <item x="2"/>
        <item x="3"/>
        <item x="4"/>
        <item x="5"/>
        <item x="6"/>
        <item x="7"/>
        <item t="default"/>
      </items>
    </pivotField>
    <pivotField axis="axisRow" showAll="0">
      <items count="4">
        <item x="0"/>
        <item x="2"/>
        <item x="1"/>
        <item t="default"/>
      </items>
    </pivotField>
    <pivotField showAll="0">
      <items count="4">
        <item x="2"/>
        <item x="1"/>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x v="2"/>
    </i>
  </rowItems>
  <colItems count="1">
    <i/>
  </colItems>
  <dataFields count="1">
    <dataField name="Sum of Total Sales" fld="12" baseField="0" baseItem="0" numFmtId="164"/>
  </dataFields>
  <formats count="1">
    <format dxfId="8">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 chart="2" format="7">
      <pivotArea type="data" outline="0" fieldPosition="0">
        <references count="2">
          <reference field="4294967294" count="1" selected="0">
            <x v="0"/>
          </reference>
          <reference field="10" count="1" selected="0">
            <x v="1"/>
          </reference>
        </references>
      </pivotArea>
    </chartFormat>
    <chartFormat chart="2"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CFA3DF-DCEB-457D-8CFD-9AE8DCA2676C}"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19:D33" firstHeaderRow="1" firstDataRow="1" firstDataCol="1"/>
  <pivotFields count="14">
    <pivotField showAll="0"/>
    <pivotField axis="axisRow" showAll="0" sortType="descending">
      <items count="15">
        <item x="9"/>
        <item x="7"/>
        <item x="4"/>
        <item x="8"/>
        <item x="3"/>
        <item x="1"/>
        <item x="0"/>
        <item x="13"/>
        <item x="11"/>
        <item x="2"/>
        <item x="12"/>
        <item x="6"/>
        <item x="5"/>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pivotField showAll="0"/>
    <pivotField dataField="1" showAll="0"/>
    <pivotField showAll="0"/>
  </pivotFields>
  <rowFields count="1">
    <field x="1"/>
  </rowFields>
  <rowItems count="14">
    <i>
      <x v="3"/>
    </i>
    <i>
      <x v="13"/>
    </i>
    <i>
      <x v="2"/>
    </i>
    <i>
      <x v="10"/>
    </i>
    <i>
      <x v="6"/>
    </i>
    <i>
      <x v="4"/>
    </i>
    <i>
      <x v="1"/>
    </i>
    <i>
      <x v="11"/>
    </i>
    <i>
      <x v="5"/>
    </i>
    <i>
      <x/>
    </i>
    <i>
      <x v="7"/>
    </i>
    <i>
      <x v="8"/>
    </i>
    <i>
      <x v="9"/>
    </i>
    <i>
      <x v="12"/>
    </i>
  </rowItems>
  <colItems count="1">
    <i/>
  </colItems>
  <dataFields count="1">
    <dataField name="Sum of Total Sales" fld="12" baseField="0" baseItem="0"/>
  </dataFields>
  <formats count="1">
    <format dxfId="9">
      <pivotArea collapsedLevelsAreSubtotals="1" fieldPosition="0">
        <references count="1">
          <reference field="1"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5400AC-F89C-4241-A5EB-C6DA6E9B83E8}"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N6:O9" firstHeaderRow="1" firstDataRow="1" firstDataCol="1"/>
  <pivotFields count="14">
    <pivotField showAll="0"/>
    <pivotField showAll="0"/>
    <pivotField showAll="0"/>
    <pivotField showAll="0"/>
    <pivotField showAll="0"/>
    <pivotField showAll="0"/>
    <pivotField showAll="0"/>
    <pivotField showAll="0"/>
    <pivotField showAll="0"/>
    <pivotField numFmtId="14" showAll="0"/>
    <pivotField showAll="0"/>
    <pivotField showAll="0"/>
    <pivotField dataField="1" showAll="0"/>
    <pivotField axis="axisRow" showAll="0" sortType="ascending">
      <items count="4">
        <item x="2"/>
        <item x="0"/>
        <item x="1"/>
        <item t="default"/>
      </items>
      <autoSortScope>
        <pivotArea dataOnly="0" outline="0" fieldPosition="0">
          <references count="1">
            <reference field="4294967294" count="1" selected="0">
              <x v="0"/>
            </reference>
          </references>
        </pivotArea>
      </autoSortScope>
    </pivotField>
  </pivotFields>
  <rowFields count="1">
    <field x="13"/>
  </rowFields>
  <rowItems count="3">
    <i>
      <x/>
    </i>
    <i>
      <x v="1"/>
    </i>
    <i>
      <x v="2"/>
    </i>
  </rowItems>
  <colItems count="1">
    <i/>
  </colItems>
  <dataFields count="1">
    <dataField name="Sum of Total Sales" fld="12" baseField="0" baseItem="0" numFmtId="164"/>
  </dataFields>
  <formats count="1">
    <format dxfId="1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2E9849-D3B5-4D38-9DA6-C9097ADD0E4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K8:L15" firstHeaderRow="1" firstDataRow="1" firstDataCol="1"/>
  <pivotFields count="15">
    <pivotField showAll="0"/>
    <pivotField showAll="0"/>
    <pivotField showAll="0"/>
    <pivotField showAll="0"/>
    <pivotField axis="axisRow" showAll="0" sortType="descending">
      <items count="8">
        <item x="1"/>
        <item x="4"/>
        <item x="2"/>
        <item x="5"/>
        <item x="3"/>
        <item x="0"/>
        <item x="6"/>
        <item t="default"/>
      </items>
      <autoSortScope>
        <pivotArea dataOnly="0" outline="0" fieldPosition="0">
          <references count="1">
            <reference field="4294967294" count="1" selected="0">
              <x v="0"/>
            </reference>
          </references>
        </pivotArea>
      </autoSortScope>
    </pivotField>
    <pivotField showAll="0"/>
    <pivotField showAll="0">
      <items count="5">
        <item x="1"/>
        <item x="0"/>
        <item x="2"/>
        <item x="3"/>
        <item t="default"/>
      </items>
    </pivotField>
    <pivotField showAll="0"/>
    <pivotField showAll="0"/>
    <pivotField numFmtId="14" showAll="0">
      <items count="9">
        <item x="0"/>
        <item x="1"/>
        <item x="2"/>
        <item x="3"/>
        <item x="4"/>
        <item x="5"/>
        <item x="6"/>
        <item x="7"/>
        <item t="default"/>
      </items>
    </pivotField>
    <pivotField showAll="0">
      <items count="4">
        <item x="0"/>
        <item x="2"/>
        <item x="1"/>
        <item t="default"/>
      </items>
    </pivotField>
    <pivotField showAll="0">
      <items count="4">
        <item x="2"/>
        <item x="1"/>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7">
    <i>
      <x v="5"/>
    </i>
    <i>
      <x v="3"/>
    </i>
    <i>
      <x v="4"/>
    </i>
    <i>
      <x v="1"/>
    </i>
    <i>
      <x/>
    </i>
    <i>
      <x v="2"/>
    </i>
    <i>
      <x v="6"/>
    </i>
  </rowItems>
  <colItems count="1">
    <i/>
  </colItems>
  <dataFields count="1">
    <dataField name="Sum of Total Sales" fld="12" baseField="0" baseItem="0" numFmtId="164"/>
  </dataFields>
  <formats count="1">
    <format dxfId="1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687CC5A-6B14-4AC8-AA26-6701E83BB6F9}" sourceName="City">
  <pivotTables>
    <pivotTable tabId="2" name="PivotTable6"/>
    <pivotTable tabId="2" name="PivotTable1"/>
    <pivotTable tabId="2" name="PivotTable2"/>
    <pivotTable tabId="2" name="PivotTable3"/>
    <pivotTable tabId="2" name="PivotTable4"/>
    <pivotTable tabId="2" name="PivotTable5"/>
  </pivotTables>
  <data>
    <tabular pivotCacheId="2040762047">
      <items count="7">
        <i x="1" s="1"/>
        <i x="4" s="1"/>
        <i x="2" s="1"/>
        <i x="5" s="1"/>
        <i x="3"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402CD25-6392-42BA-A92F-CB3DEB047315}" sourceName="Category">
  <pivotTables>
    <pivotTable tabId="2" name="PivotTable6"/>
    <pivotTable tabId="2" name="PivotTable1"/>
    <pivotTable tabId="2" name="PivotTable2"/>
    <pivotTable tabId="2" name="PivotTable3"/>
    <pivotTable tabId="2" name="PivotTable4"/>
    <pivotTable tabId="2" name="PivotTable5"/>
  </pivotTables>
  <data>
    <tabular pivotCacheId="2040762047">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egment" xr10:uid="{E80EC372-6AD2-4AAA-8FDB-22BD3A99B725}" sourceName="CustomerSegment">
  <pivotTables>
    <pivotTable tabId="2" name="PivotTable6"/>
    <pivotTable tabId="2" name="PivotTable1"/>
    <pivotTable tabId="2" name="PivotTable2"/>
    <pivotTable tabId="2" name="PivotTable3"/>
    <pivotTable tabId="2" name="PivotTable4"/>
    <pivotTable tabId="2" name="PivotTable5"/>
  </pivotTables>
  <data>
    <tabular pivotCacheId="204076204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8701AFA-A211-4A0D-8760-0A5AE08235B7}" cache="Slicer_City" caption="City" style="SlicerStyleLight4" rowHeight="247650"/>
  <slicer name="Category" xr10:uid="{CFA2A178-4C21-407D-B7DF-46F8B099BD51}" cache="Slicer_Category" caption="Category" style="SlicerStyleLight4" rowHeight="247650"/>
  <slicer name="CustomerSegment" xr10:uid="{EDE76826-F3B5-451B-A9ED-3E5CFB7D97DB}" cache="Slicer_CustomerSegment" caption="CustomerSegment" style="SlicerStyleLight4"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B8FB-89A7-478A-97C9-DDE1D964D14E}">
  <sheetPr>
    <tabColor theme="4"/>
  </sheetPr>
  <dimension ref="A1:N16"/>
  <sheetViews>
    <sheetView workbookViewId="0">
      <selection activeCell="G24" sqref="G24"/>
    </sheetView>
  </sheetViews>
  <sheetFormatPr defaultRowHeight="14.4" x14ac:dyDescent="0.3"/>
  <cols>
    <col min="1" max="1" width="7.33203125" bestFit="1" customWidth="1"/>
    <col min="2" max="2" width="14.33203125" bestFit="1" customWidth="1"/>
    <col min="3" max="3" width="7" bestFit="1" customWidth="1"/>
    <col min="4" max="4" width="4" bestFit="1" customWidth="1"/>
    <col min="5" max="5" width="7" bestFit="1" customWidth="1"/>
    <col min="6" max="6" width="15.6640625" bestFit="1" customWidth="1"/>
    <col min="7" max="7" width="10.88671875" bestFit="1" customWidth="1"/>
    <col min="8" max="8" width="8.109375" bestFit="1" customWidth="1"/>
    <col min="9" max="9" width="8.77734375" bestFit="1" customWidth="1"/>
    <col min="10" max="10" width="9.6640625" bestFit="1" customWidth="1"/>
    <col min="11" max="11" width="14.6640625" bestFit="1" customWidth="1"/>
    <col min="12" max="12" width="16.5546875" bestFit="1" customWidth="1"/>
    <col min="13" max="13" width="10" bestFit="1" customWidth="1"/>
  </cols>
  <sheetData>
    <row r="1" spans="1:14" s="3" customFormat="1" x14ac:dyDescent="0.3">
      <c r="A1" s="3" t="s">
        <v>0</v>
      </c>
      <c r="B1" s="3" t="s">
        <v>1</v>
      </c>
      <c r="C1" s="3" t="s">
        <v>2</v>
      </c>
      <c r="D1" s="3" t="s">
        <v>3</v>
      </c>
      <c r="E1" s="3" t="s">
        <v>4</v>
      </c>
      <c r="F1" s="3" t="s">
        <v>5</v>
      </c>
      <c r="G1" s="3" t="s">
        <v>6</v>
      </c>
      <c r="H1" s="3" t="s">
        <v>7</v>
      </c>
      <c r="I1" s="3" t="s">
        <v>8</v>
      </c>
      <c r="J1" s="3" t="s">
        <v>9</v>
      </c>
      <c r="K1" s="3" t="s">
        <v>10</v>
      </c>
      <c r="L1" s="3" t="s">
        <v>11</v>
      </c>
      <c r="M1" s="3" t="s">
        <v>58</v>
      </c>
      <c r="N1" s="3" t="s">
        <v>67</v>
      </c>
    </row>
    <row r="2" spans="1:14" x14ac:dyDescent="0.3">
      <c r="A2">
        <v>2001</v>
      </c>
      <c r="B2" t="s">
        <v>12</v>
      </c>
      <c r="C2" t="s">
        <v>13</v>
      </c>
      <c r="D2">
        <v>28</v>
      </c>
      <c r="E2" t="s">
        <v>14</v>
      </c>
      <c r="F2" t="s">
        <v>15</v>
      </c>
      <c r="G2" t="s">
        <v>16</v>
      </c>
      <c r="H2">
        <v>2</v>
      </c>
      <c r="I2">
        <v>5000</v>
      </c>
      <c r="J2" s="1">
        <v>46024</v>
      </c>
      <c r="K2" t="s">
        <v>17</v>
      </c>
      <c r="L2" t="s">
        <v>18</v>
      </c>
      <c r="M2">
        <f>H2*I2</f>
        <v>10000</v>
      </c>
      <c r="N2" t="str">
        <f>IF(D2&lt;=25,"18-25",IF(D2&lt;=35,"26-35","36-50"))</f>
        <v>26-35</v>
      </c>
    </row>
    <row r="3" spans="1:14" x14ac:dyDescent="0.3">
      <c r="A3">
        <v>2002</v>
      </c>
      <c r="B3" t="s">
        <v>19</v>
      </c>
      <c r="C3" t="s">
        <v>20</v>
      </c>
      <c r="D3">
        <v>34</v>
      </c>
      <c r="E3" t="s">
        <v>21</v>
      </c>
      <c r="F3" t="s">
        <v>22</v>
      </c>
      <c r="G3" t="s">
        <v>23</v>
      </c>
      <c r="H3">
        <v>1</v>
      </c>
      <c r="I3">
        <v>12000</v>
      </c>
      <c r="J3" s="1">
        <v>46055</v>
      </c>
      <c r="K3" t="s">
        <v>24</v>
      </c>
      <c r="L3" t="s">
        <v>25</v>
      </c>
      <c r="M3">
        <f t="shared" ref="M3:M16" si="0">H3*I3</f>
        <v>12000</v>
      </c>
      <c r="N3" t="str">
        <f t="shared" ref="N3:N16" si="1">IF(D3&lt;=25,"18-25",IF(D3&lt;=35,"26-35","36-50"))</f>
        <v>26-35</v>
      </c>
    </row>
    <row r="4" spans="1:14" x14ac:dyDescent="0.3">
      <c r="A4">
        <v>2003</v>
      </c>
      <c r="B4" t="s">
        <v>26</v>
      </c>
      <c r="C4" t="s">
        <v>13</v>
      </c>
      <c r="D4">
        <v>41</v>
      </c>
      <c r="E4" t="s">
        <v>27</v>
      </c>
      <c r="F4" t="s">
        <v>28</v>
      </c>
      <c r="G4" t="s">
        <v>16</v>
      </c>
      <c r="H4">
        <v>3</v>
      </c>
      <c r="I4">
        <v>1500</v>
      </c>
      <c r="J4" s="1">
        <v>46055</v>
      </c>
      <c r="K4" t="s">
        <v>29</v>
      </c>
      <c r="L4" t="s">
        <v>18</v>
      </c>
      <c r="M4">
        <f t="shared" si="0"/>
        <v>4500</v>
      </c>
      <c r="N4" t="str">
        <f t="shared" si="1"/>
        <v>36-50</v>
      </c>
    </row>
    <row r="5" spans="1:14" x14ac:dyDescent="0.3">
      <c r="A5">
        <v>2004</v>
      </c>
      <c r="B5" t="s">
        <v>30</v>
      </c>
      <c r="C5" t="s">
        <v>20</v>
      </c>
      <c r="D5">
        <v>25</v>
      </c>
      <c r="E5" t="s">
        <v>14</v>
      </c>
      <c r="F5" t="s">
        <v>31</v>
      </c>
      <c r="G5" t="s">
        <v>16</v>
      </c>
      <c r="H5">
        <v>1</v>
      </c>
      <c r="I5">
        <v>18000</v>
      </c>
      <c r="J5" s="1">
        <v>46083</v>
      </c>
      <c r="K5" t="s">
        <v>17</v>
      </c>
      <c r="L5" t="s">
        <v>25</v>
      </c>
      <c r="M5">
        <f t="shared" si="0"/>
        <v>18000</v>
      </c>
      <c r="N5" t="str">
        <f t="shared" si="1"/>
        <v>18-25</v>
      </c>
    </row>
    <row r="6" spans="1:14" x14ac:dyDescent="0.3">
      <c r="A6">
        <v>2005</v>
      </c>
      <c r="B6" t="s">
        <v>32</v>
      </c>
      <c r="C6" t="s">
        <v>13</v>
      </c>
      <c r="D6">
        <v>38</v>
      </c>
      <c r="E6" t="s">
        <v>33</v>
      </c>
      <c r="F6" t="s">
        <v>34</v>
      </c>
      <c r="G6" t="s">
        <v>35</v>
      </c>
      <c r="H6">
        <v>1</v>
      </c>
      <c r="I6">
        <v>45000</v>
      </c>
      <c r="J6" s="1">
        <v>46083</v>
      </c>
      <c r="K6" t="s">
        <v>24</v>
      </c>
      <c r="L6" t="s">
        <v>36</v>
      </c>
      <c r="M6">
        <f t="shared" si="0"/>
        <v>45000</v>
      </c>
      <c r="N6" t="str">
        <f t="shared" si="1"/>
        <v>36-50</v>
      </c>
    </row>
    <row r="7" spans="1:14" x14ac:dyDescent="0.3">
      <c r="A7">
        <v>2006</v>
      </c>
      <c r="B7" t="s">
        <v>37</v>
      </c>
      <c r="C7" t="s">
        <v>20</v>
      </c>
      <c r="D7">
        <v>29</v>
      </c>
      <c r="E7" t="s">
        <v>27</v>
      </c>
      <c r="F7" t="s">
        <v>38</v>
      </c>
      <c r="G7" t="s">
        <v>39</v>
      </c>
      <c r="H7">
        <v>5</v>
      </c>
      <c r="I7">
        <v>800</v>
      </c>
      <c r="J7" s="1">
        <v>46114</v>
      </c>
      <c r="K7" t="s">
        <v>29</v>
      </c>
      <c r="L7" t="s">
        <v>18</v>
      </c>
      <c r="M7">
        <f t="shared" si="0"/>
        <v>4000</v>
      </c>
      <c r="N7" t="str">
        <f t="shared" si="1"/>
        <v>26-35</v>
      </c>
    </row>
    <row r="8" spans="1:14" x14ac:dyDescent="0.3">
      <c r="A8">
        <v>2007</v>
      </c>
      <c r="B8" t="s">
        <v>40</v>
      </c>
      <c r="C8" t="s">
        <v>13</v>
      </c>
      <c r="D8">
        <v>45</v>
      </c>
      <c r="E8" t="s">
        <v>41</v>
      </c>
      <c r="F8" t="s">
        <v>42</v>
      </c>
      <c r="G8" t="s">
        <v>23</v>
      </c>
      <c r="H8">
        <v>2</v>
      </c>
      <c r="I8">
        <v>7000</v>
      </c>
      <c r="J8" s="1">
        <v>46144</v>
      </c>
      <c r="K8" t="s">
        <v>24</v>
      </c>
      <c r="L8" t="s">
        <v>36</v>
      </c>
      <c r="M8">
        <f t="shared" si="0"/>
        <v>14000</v>
      </c>
      <c r="N8" t="str">
        <f t="shared" si="1"/>
        <v>36-50</v>
      </c>
    </row>
    <row r="9" spans="1:14" x14ac:dyDescent="0.3">
      <c r="A9">
        <v>2008</v>
      </c>
      <c r="B9" t="s">
        <v>43</v>
      </c>
      <c r="C9" t="s">
        <v>20</v>
      </c>
      <c r="D9">
        <v>31</v>
      </c>
      <c r="E9" t="s">
        <v>21</v>
      </c>
      <c r="F9" t="s">
        <v>44</v>
      </c>
      <c r="G9" t="s">
        <v>16</v>
      </c>
      <c r="H9">
        <v>1</v>
      </c>
      <c r="I9">
        <v>15000</v>
      </c>
      <c r="J9" s="1">
        <v>46144</v>
      </c>
      <c r="K9" t="s">
        <v>17</v>
      </c>
      <c r="L9" t="s">
        <v>25</v>
      </c>
      <c r="M9">
        <f t="shared" si="0"/>
        <v>15000</v>
      </c>
      <c r="N9" t="str">
        <f t="shared" si="1"/>
        <v>26-35</v>
      </c>
    </row>
    <row r="10" spans="1:14" x14ac:dyDescent="0.3">
      <c r="A10">
        <v>2009</v>
      </c>
      <c r="B10" t="s">
        <v>45</v>
      </c>
      <c r="C10" t="s">
        <v>13</v>
      </c>
      <c r="D10">
        <v>36</v>
      </c>
      <c r="E10" t="s">
        <v>46</v>
      </c>
      <c r="F10" t="s">
        <v>47</v>
      </c>
      <c r="G10" t="s">
        <v>16</v>
      </c>
      <c r="H10">
        <v>1</v>
      </c>
      <c r="I10">
        <v>65000</v>
      </c>
      <c r="J10" s="1">
        <v>46175</v>
      </c>
      <c r="K10" t="s">
        <v>17</v>
      </c>
      <c r="L10" t="s">
        <v>36</v>
      </c>
      <c r="M10">
        <f t="shared" si="0"/>
        <v>65000</v>
      </c>
      <c r="N10" t="str">
        <f t="shared" si="1"/>
        <v>36-50</v>
      </c>
    </row>
    <row r="11" spans="1:14" x14ac:dyDescent="0.3">
      <c r="A11">
        <v>2010</v>
      </c>
      <c r="B11" t="s">
        <v>48</v>
      </c>
      <c r="C11" t="s">
        <v>20</v>
      </c>
      <c r="D11">
        <v>27</v>
      </c>
      <c r="E11" t="s">
        <v>46</v>
      </c>
      <c r="F11" t="s">
        <v>49</v>
      </c>
      <c r="G11" t="s">
        <v>16</v>
      </c>
      <c r="H11">
        <v>2</v>
      </c>
      <c r="I11">
        <v>6000</v>
      </c>
      <c r="J11" s="1">
        <v>46175</v>
      </c>
      <c r="K11" t="s">
        <v>24</v>
      </c>
      <c r="L11" t="s">
        <v>18</v>
      </c>
      <c r="M11">
        <f t="shared" si="0"/>
        <v>12000</v>
      </c>
      <c r="N11" t="str">
        <f t="shared" si="1"/>
        <v>26-35</v>
      </c>
    </row>
    <row r="12" spans="1:14" x14ac:dyDescent="0.3">
      <c r="A12">
        <v>2011</v>
      </c>
      <c r="B12" t="s">
        <v>50</v>
      </c>
      <c r="C12" t="s">
        <v>13</v>
      </c>
      <c r="D12">
        <v>50</v>
      </c>
      <c r="E12" t="s">
        <v>14</v>
      </c>
      <c r="F12" t="s">
        <v>51</v>
      </c>
      <c r="G12" t="s">
        <v>35</v>
      </c>
      <c r="H12">
        <v>1</v>
      </c>
      <c r="I12">
        <v>55000</v>
      </c>
      <c r="J12" s="1">
        <v>46205</v>
      </c>
      <c r="K12" t="s">
        <v>29</v>
      </c>
      <c r="L12" t="s">
        <v>36</v>
      </c>
      <c r="M12">
        <f t="shared" si="0"/>
        <v>55000</v>
      </c>
      <c r="N12" t="str">
        <f t="shared" si="1"/>
        <v>36-50</v>
      </c>
    </row>
    <row r="13" spans="1:14" x14ac:dyDescent="0.3">
      <c r="A13">
        <v>2012</v>
      </c>
      <c r="B13" t="s">
        <v>52</v>
      </c>
      <c r="C13" t="s">
        <v>20</v>
      </c>
      <c r="D13">
        <v>33</v>
      </c>
      <c r="E13" t="s">
        <v>27</v>
      </c>
      <c r="F13" t="s">
        <v>53</v>
      </c>
      <c r="G13" t="s">
        <v>39</v>
      </c>
      <c r="H13">
        <v>4</v>
      </c>
      <c r="I13">
        <v>1200</v>
      </c>
      <c r="J13" s="1">
        <v>46205</v>
      </c>
      <c r="K13" t="s">
        <v>17</v>
      </c>
      <c r="L13" t="s">
        <v>18</v>
      </c>
      <c r="M13">
        <f t="shared" si="0"/>
        <v>4800</v>
      </c>
      <c r="N13" t="str">
        <f t="shared" si="1"/>
        <v>26-35</v>
      </c>
    </row>
    <row r="14" spans="1:14" x14ac:dyDescent="0.3">
      <c r="A14">
        <v>2013</v>
      </c>
      <c r="B14" t="s">
        <v>54</v>
      </c>
      <c r="C14" t="s">
        <v>13</v>
      </c>
      <c r="D14">
        <v>40</v>
      </c>
      <c r="E14" t="s">
        <v>41</v>
      </c>
      <c r="F14" t="s">
        <v>55</v>
      </c>
      <c r="G14" t="s">
        <v>16</v>
      </c>
      <c r="H14">
        <v>1</v>
      </c>
      <c r="I14">
        <v>22000</v>
      </c>
      <c r="J14" s="1">
        <v>46236</v>
      </c>
      <c r="K14" t="s">
        <v>24</v>
      </c>
      <c r="L14" t="s">
        <v>25</v>
      </c>
      <c r="M14">
        <f t="shared" si="0"/>
        <v>22000</v>
      </c>
      <c r="N14" t="str">
        <f t="shared" si="1"/>
        <v>36-50</v>
      </c>
    </row>
    <row r="15" spans="1:14" x14ac:dyDescent="0.3">
      <c r="A15">
        <v>2014</v>
      </c>
      <c r="B15" t="s">
        <v>56</v>
      </c>
      <c r="C15" t="s">
        <v>20</v>
      </c>
      <c r="D15">
        <v>22</v>
      </c>
      <c r="E15" t="s">
        <v>57</v>
      </c>
      <c r="F15" t="s">
        <v>38</v>
      </c>
      <c r="G15" t="s">
        <v>39</v>
      </c>
      <c r="H15">
        <v>6</v>
      </c>
      <c r="I15">
        <v>800</v>
      </c>
      <c r="J15" s="1">
        <v>46236</v>
      </c>
      <c r="K15" t="s">
        <v>29</v>
      </c>
      <c r="L15" t="s">
        <v>18</v>
      </c>
      <c r="M15">
        <f t="shared" si="0"/>
        <v>4800</v>
      </c>
      <c r="N15" t="str">
        <f t="shared" si="1"/>
        <v>18-25</v>
      </c>
    </row>
    <row r="16" spans="1:14" x14ac:dyDescent="0.3">
      <c r="A16">
        <v>2015</v>
      </c>
      <c r="B16" t="s">
        <v>12</v>
      </c>
      <c r="C16" t="s">
        <v>13</v>
      </c>
      <c r="D16">
        <v>28</v>
      </c>
      <c r="E16" t="s">
        <v>14</v>
      </c>
      <c r="F16" t="s">
        <v>15</v>
      </c>
      <c r="G16" t="s">
        <v>16</v>
      </c>
      <c r="H16">
        <v>2</v>
      </c>
      <c r="I16">
        <v>5000</v>
      </c>
      <c r="J16" s="1">
        <v>46236</v>
      </c>
      <c r="K16" t="s">
        <v>17</v>
      </c>
      <c r="L16" t="s">
        <v>18</v>
      </c>
      <c r="M16">
        <f t="shared" si="0"/>
        <v>10000</v>
      </c>
      <c r="N16" t="str">
        <f t="shared" si="1"/>
        <v>26-35</v>
      </c>
    </row>
  </sheetData>
  <sheetProtection algorithmName="SHA-512" hashValue="8ZH+Qe5ukRpFgeGj2vUkRsmNXmSM5yYZecNK6If7CRcWFT/QgPeLTg+ZqMnQJiOAbtFWkW9jZIWtpi57R8FfgA==" saltValue="Otiid+MJmJ45uuhY4sA8bQ==" spinCount="100000" sheet="1" objects="1" scenarios="1" deleteRows="0" selectLockedCells="1" pivotTables="0" selectUn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7923D-00EA-4A46-B9AF-7FF8330792B6}">
  <sheetPr>
    <tabColor theme="4" tint="0.39997558519241921"/>
  </sheetPr>
  <dimension ref="A1:O33"/>
  <sheetViews>
    <sheetView workbookViewId="0">
      <selection activeCell="L1" sqref="L1"/>
    </sheetView>
  </sheetViews>
  <sheetFormatPr defaultRowHeight="14.4" x14ac:dyDescent="0.3"/>
  <cols>
    <col min="1" max="1" width="16.109375" bestFit="1" customWidth="1"/>
    <col min="3" max="3" width="12.44140625" bestFit="1" customWidth="1"/>
    <col min="4" max="4" width="16.109375" bestFit="1" customWidth="1"/>
    <col min="7" max="7" width="12.44140625" bestFit="1" customWidth="1"/>
    <col min="8" max="8" width="16.109375" bestFit="1" customWidth="1"/>
    <col min="10" max="10" width="16.109375" bestFit="1" customWidth="1"/>
    <col min="11" max="11" width="12.44140625" bestFit="1" customWidth="1"/>
    <col min="12" max="12" width="16.109375" bestFit="1" customWidth="1"/>
    <col min="14" max="14" width="12.44140625" bestFit="1" customWidth="1"/>
    <col min="15" max="15" width="16.109375" bestFit="1" customWidth="1"/>
  </cols>
  <sheetData>
    <row r="1" spans="1:15" x14ac:dyDescent="0.3">
      <c r="A1" t="s">
        <v>59</v>
      </c>
      <c r="C1" s="9" t="s">
        <v>78</v>
      </c>
      <c r="D1" s="9"/>
      <c r="F1" s="2" t="s">
        <v>61</v>
      </c>
      <c r="H1" s="2" t="s">
        <v>62</v>
      </c>
      <c r="J1" s="2" t="s">
        <v>63</v>
      </c>
    </row>
    <row r="2" spans="1:15" x14ac:dyDescent="0.3">
      <c r="A2" s="6">
        <v>296100</v>
      </c>
      <c r="C2" s="4" t="s">
        <v>60</v>
      </c>
      <c r="D2" t="s">
        <v>59</v>
      </c>
      <c r="F2">
        <f>COUNT('Raw data'!A2:A16)</f>
        <v>15</v>
      </c>
      <c r="H2">
        <f>AVERAGE('Raw data'!D2:D16)</f>
        <v>33.799999999999997</v>
      </c>
      <c r="J2" s="6">
        <f>AVERAGE('Raw data'!M2:M16)</f>
        <v>19740</v>
      </c>
    </row>
    <row r="3" spans="1:15" x14ac:dyDescent="0.3">
      <c r="C3" s="5" t="s">
        <v>17</v>
      </c>
      <c r="D3" s="6">
        <v>122800</v>
      </c>
    </row>
    <row r="4" spans="1:15" x14ac:dyDescent="0.3">
      <c r="C4" s="5" t="s">
        <v>29</v>
      </c>
      <c r="D4" s="6">
        <v>68300</v>
      </c>
    </row>
    <row r="5" spans="1:15" x14ac:dyDescent="0.3">
      <c r="C5" s="5" t="s">
        <v>24</v>
      </c>
      <c r="D5" s="6">
        <v>105000</v>
      </c>
      <c r="N5" s="8" t="s">
        <v>71</v>
      </c>
      <c r="O5" s="8"/>
    </row>
    <row r="6" spans="1:15" x14ac:dyDescent="0.3">
      <c r="N6" s="4" t="s">
        <v>60</v>
      </c>
      <c r="O6" t="s">
        <v>59</v>
      </c>
    </row>
    <row r="7" spans="1:15" x14ac:dyDescent="0.3">
      <c r="C7" s="8" t="s">
        <v>75</v>
      </c>
      <c r="D7" s="8"/>
      <c r="G7" s="8" t="s">
        <v>74</v>
      </c>
      <c r="H7" s="9"/>
      <c r="K7" s="8" t="s">
        <v>72</v>
      </c>
      <c r="L7" s="9"/>
      <c r="N7" s="5" t="s">
        <v>68</v>
      </c>
      <c r="O7" s="6">
        <v>22800</v>
      </c>
    </row>
    <row r="8" spans="1:15" x14ac:dyDescent="0.3">
      <c r="C8" s="4" t="s">
        <v>60</v>
      </c>
      <c r="D8" t="s">
        <v>59</v>
      </c>
      <c r="G8" s="4" t="s">
        <v>60</v>
      </c>
      <c r="H8" t="s">
        <v>59</v>
      </c>
      <c r="K8" s="4" t="s">
        <v>60</v>
      </c>
      <c r="L8" t="s">
        <v>59</v>
      </c>
      <c r="N8" s="5" t="s">
        <v>69</v>
      </c>
      <c r="O8" s="6">
        <v>67800</v>
      </c>
    </row>
    <row r="9" spans="1:15" x14ac:dyDescent="0.3">
      <c r="C9" s="5" t="s">
        <v>36</v>
      </c>
      <c r="D9" s="6">
        <v>179000</v>
      </c>
      <c r="G9" s="5" t="s">
        <v>20</v>
      </c>
      <c r="H9" s="6">
        <v>70600</v>
      </c>
      <c r="K9" s="5" t="s">
        <v>14</v>
      </c>
      <c r="L9" s="6">
        <v>93000</v>
      </c>
      <c r="N9" s="5" t="s">
        <v>70</v>
      </c>
      <c r="O9" s="6">
        <v>205500</v>
      </c>
    </row>
    <row r="10" spans="1:15" x14ac:dyDescent="0.3">
      <c r="C10" s="5" t="s">
        <v>25</v>
      </c>
      <c r="D10" s="6">
        <v>67000</v>
      </c>
      <c r="G10" s="5" t="s">
        <v>13</v>
      </c>
      <c r="H10" s="6">
        <v>225500</v>
      </c>
      <c r="K10" s="5" t="s">
        <v>46</v>
      </c>
      <c r="L10" s="6">
        <v>77000</v>
      </c>
    </row>
    <row r="11" spans="1:15" x14ac:dyDescent="0.3">
      <c r="C11" s="5" t="s">
        <v>18</v>
      </c>
      <c r="D11" s="6">
        <v>50100</v>
      </c>
      <c r="K11" s="5" t="s">
        <v>33</v>
      </c>
      <c r="L11" s="6">
        <v>45000</v>
      </c>
    </row>
    <row r="12" spans="1:15" x14ac:dyDescent="0.3">
      <c r="K12" s="5" t="s">
        <v>41</v>
      </c>
      <c r="L12" s="6">
        <v>36000</v>
      </c>
    </row>
    <row r="13" spans="1:15" x14ac:dyDescent="0.3">
      <c r="G13" s="8" t="s">
        <v>73</v>
      </c>
      <c r="H13" s="8"/>
      <c r="K13" s="5" t="s">
        <v>21</v>
      </c>
      <c r="L13" s="6">
        <v>27000</v>
      </c>
    </row>
    <row r="14" spans="1:15" x14ac:dyDescent="0.3">
      <c r="G14" s="4" t="s">
        <v>60</v>
      </c>
      <c r="H14" t="s">
        <v>59</v>
      </c>
      <c r="K14" s="5" t="s">
        <v>27</v>
      </c>
      <c r="L14" s="6">
        <v>13300</v>
      </c>
    </row>
    <row r="15" spans="1:15" x14ac:dyDescent="0.3">
      <c r="G15" s="5" t="s">
        <v>79</v>
      </c>
      <c r="H15" s="6">
        <v>10000</v>
      </c>
      <c r="K15" s="5" t="s">
        <v>57</v>
      </c>
      <c r="L15" s="6">
        <v>4800</v>
      </c>
    </row>
    <row r="16" spans="1:15" x14ac:dyDescent="0.3">
      <c r="G16" s="5" t="s">
        <v>80</v>
      </c>
      <c r="H16" s="6">
        <v>16500</v>
      </c>
    </row>
    <row r="17" spans="3:12" x14ac:dyDescent="0.3">
      <c r="G17" s="5" t="s">
        <v>81</v>
      </c>
      <c r="H17" s="6">
        <v>63000</v>
      </c>
    </row>
    <row r="18" spans="3:12" x14ac:dyDescent="0.3">
      <c r="C18" s="8" t="s">
        <v>77</v>
      </c>
      <c r="D18" s="8"/>
      <c r="G18" s="5" t="s">
        <v>64</v>
      </c>
      <c r="H18" s="6">
        <v>4000</v>
      </c>
    </row>
    <row r="19" spans="3:12" x14ac:dyDescent="0.3">
      <c r="C19" s="4" t="s">
        <v>60</v>
      </c>
      <c r="D19" t="s">
        <v>59</v>
      </c>
      <c r="G19" s="5" t="s">
        <v>82</v>
      </c>
      <c r="H19" s="6">
        <v>29000</v>
      </c>
      <c r="J19" s="8" t="s">
        <v>76</v>
      </c>
      <c r="K19" s="8"/>
    </row>
    <row r="20" spans="3:12" x14ac:dyDescent="0.3">
      <c r="C20" s="5" t="s">
        <v>45</v>
      </c>
      <c r="D20" s="6">
        <v>65000</v>
      </c>
      <c r="G20" s="5" t="s">
        <v>83</v>
      </c>
      <c r="H20" s="6">
        <v>77000</v>
      </c>
      <c r="J20" s="4" t="s">
        <v>60</v>
      </c>
      <c r="K20" t="s">
        <v>59</v>
      </c>
    </row>
    <row r="21" spans="3:12" x14ac:dyDescent="0.3">
      <c r="C21" s="5" t="s">
        <v>50</v>
      </c>
      <c r="D21">
        <v>55000</v>
      </c>
      <c r="G21" s="5" t="s">
        <v>65</v>
      </c>
      <c r="H21" s="6">
        <v>59800</v>
      </c>
      <c r="J21" s="5" t="s">
        <v>16</v>
      </c>
      <c r="K21" s="6">
        <v>156500</v>
      </c>
      <c r="L21" s="7"/>
    </row>
    <row r="22" spans="3:12" x14ac:dyDescent="0.3">
      <c r="C22" s="5" t="s">
        <v>32</v>
      </c>
      <c r="D22">
        <v>45000</v>
      </c>
      <c r="G22" s="5" t="s">
        <v>66</v>
      </c>
      <c r="H22" s="6">
        <v>36800</v>
      </c>
      <c r="J22" s="5" t="s">
        <v>35</v>
      </c>
      <c r="K22">
        <v>100000</v>
      </c>
    </row>
    <row r="23" spans="3:12" x14ac:dyDescent="0.3">
      <c r="C23" s="5" t="s">
        <v>54</v>
      </c>
      <c r="D23">
        <v>22000</v>
      </c>
      <c r="J23" s="5" t="s">
        <v>23</v>
      </c>
      <c r="K23">
        <v>26000</v>
      </c>
    </row>
    <row r="24" spans="3:12" x14ac:dyDescent="0.3">
      <c r="C24" s="5" t="s">
        <v>12</v>
      </c>
      <c r="D24">
        <v>20000</v>
      </c>
      <c r="J24" s="5" t="s">
        <v>39</v>
      </c>
      <c r="K24">
        <v>13600</v>
      </c>
    </row>
    <row r="25" spans="3:12" x14ac:dyDescent="0.3">
      <c r="C25" s="5" t="s">
        <v>30</v>
      </c>
      <c r="D25">
        <v>18000</v>
      </c>
    </row>
    <row r="26" spans="3:12" x14ac:dyDescent="0.3">
      <c r="C26" s="5" t="s">
        <v>43</v>
      </c>
      <c r="D26">
        <v>15000</v>
      </c>
    </row>
    <row r="27" spans="3:12" x14ac:dyDescent="0.3">
      <c r="C27" s="5" t="s">
        <v>40</v>
      </c>
      <c r="D27">
        <v>14000</v>
      </c>
    </row>
    <row r="28" spans="3:12" x14ac:dyDescent="0.3">
      <c r="C28" s="5" t="s">
        <v>19</v>
      </c>
      <c r="D28">
        <v>12000</v>
      </c>
    </row>
    <row r="29" spans="3:12" x14ac:dyDescent="0.3">
      <c r="C29" s="5" t="s">
        <v>48</v>
      </c>
      <c r="D29">
        <v>12000</v>
      </c>
    </row>
    <row r="30" spans="3:12" x14ac:dyDescent="0.3">
      <c r="C30" s="5" t="s">
        <v>56</v>
      </c>
      <c r="D30">
        <v>4800</v>
      </c>
    </row>
    <row r="31" spans="3:12" x14ac:dyDescent="0.3">
      <c r="C31" s="5" t="s">
        <v>52</v>
      </c>
      <c r="D31">
        <v>4800</v>
      </c>
    </row>
    <row r="32" spans="3:12" x14ac:dyDescent="0.3">
      <c r="C32" s="5" t="s">
        <v>26</v>
      </c>
      <c r="D32">
        <v>4500</v>
      </c>
    </row>
    <row r="33" spans="3:4" x14ac:dyDescent="0.3">
      <c r="C33" s="5" t="s">
        <v>37</v>
      </c>
      <c r="D33">
        <v>4000</v>
      </c>
    </row>
  </sheetData>
  <sheetProtection algorithmName="SHA-512" hashValue="5JJT/AWru2iVR0znTY6HmvlcAP104qhBPGdRQHOKYljhtqRCQPJmHH/4Bqyfi3LtCfKw9VC7DaXcScIk4Fql+A==" saltValue="JLIbO6RtraFAJPKGFweEmg==" spinCount="100000" sheet="1" objects="1" scenarios="1" pivotTables="0"/>
  <mergeCells count="8">
    <mergeCell ref="J19:K19"/>
    <mergeCell ref="C18:D18"/>
    <mergeCell ref="C1:D1"/>
    <mergeCell ref="N5:O5"/>
    <mergeCell ref="K7:L7"/>
    <mergeCell ref="G13:H13"/>
    <mergeCell ref="G7:H7"/>
    <mergeCell ref="C7:D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494D-2C65-48EF-936F-98DC00E9239E}">
  <sheetPr>
    <tabColor theme="3" tint="0.249977111117893"/>
  </sheetPr>
  <dimension ref="A1"/>
  <sheetViews>
    <sheetView showGridLines="0" showRowColHeaders="0" tabSelected="1" workbookViewId="0">
      <selection activeCell="V14" sqref="V14"/>
    </sheetView>
  </sheetViews>
  <sheetFormatPr defaultRowHeight="14.4" x14ac:dyDescent="0.3"/>
  <sheetData/>
  <sheetProtection algorithmName="SHA-512" hashValue="4HkLg8ZwdH0ZfMTRqZTAzeF2haPlV1Qj9uWo9atfDV3pH2OBTx0jYcNl/oXSNV3jwqCytXQqw9g8FW2dkUls2Q==" saltValue="xbkutS8GZ7y9qxtNYL3O6A==" spinCount="100000"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Oladokun Olamide</dc:creator>
  <cp:lastModifiedBy>Oladokun Olamide</cp:lastModifiedBy>
  <dcterms:created xsi:type="dcterms:W3CDTF">2026-04-22T10:28:51Z</dcterms:created>
  <dcterms:modified xsi:type="dcterms:W3CDTF">2026-05-02T16:18:41Z</dcterms:modified>
</cp:coreProperties>
</file>